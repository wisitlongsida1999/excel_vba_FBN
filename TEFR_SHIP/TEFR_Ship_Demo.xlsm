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TEFR_SHIP\"/>
    </mc:Choice>
  </mc:AlternateContent>
  <bookViews>
    <workbookView xWindow="300" yWindow="-180" windowWidth="19440" windowHeight="12105" firstSheet="1" activeTab="2"/>
  </bookViews>
  <sheets>
    <sheet name="manual" sheetId="5" r:id="rId1"/>
    <sheet name="fits" sheetId="2" r:id="rId2"/>
    <sheet name="shipment" sheetId="4" r:id="rId3"/>
    <sheet name="uload" sheetId="6" r:id="rId4"/>
    <sheet name="mail" sheetId="8" r:id="rId5"/>
    <sheet name="lot" sheetId="3" r:id="rId6"/>
    <sheet name="after" sheetId="7" r:id="rId7"/>
    <sheet name="address" sheetId="1" r:id="rId8"/>
  </sheets>
  <functionGroups builtInGroupCount="18"/>
  <definedNames>
    <definedName name="_xlnm._FilterDatabase" localSheetId="7">address!$A$1:$G$2</definedName>
    <definedName name="_xlnm._FilterDatabase" localSheetId="1" hidden="1">fits!$A$1:$K$1</definedName>
    <definedName name="_xlnm._FilterDatabase" localSheetId="5" hidden="1">lot!$A$1:$H$1</definedName>
    <definedName name="_xlnm._FilterDatabase" localSheetId="2" hidden="1">shipment!#REF!</definedName>
    <definedName name="grade" localSheetId="6">#REF!</definedName>
    <definedName name="grade" localSheetId="4">#REF!</definedName>
    <definedName name="grade" localSheetId="0">#REF!</definedName>
    <definedName name="grade" localSheetId="3">#REF!</definedName>
    <definedName name="grade">#REF!</definedName>
  </definedNames>
  <calcPr calcId="152511"/>
</workbook>
</file>

<file path=xl/calcChain.xml><?xml version="1.0" encoding="utf-8"?>
<calcChain xmlns="http://schemas.openxmlformats.org/spreadsheetml/2006/main">
  <c r="T5" i="4" l="1"/>
  <c r="R5" i="4"/>
  <c r="H5" i="4"/>
</calcChain>
</file>

<file path=xl/sharedStrings.xml><?xml version="1.0" encoding="utf-8"?>
<sst xmlns="http://schemas.openxmlformats.org/spreadsheetml/2006/main" count="614" uniqueCount="205">
  <si>
    <t>Code</t>
  </si>
  <si>
    <t>Remark</t>
  </si>
  <si>
    <t>Ship To</t>
  </si>
  <si>
    <t>Supplier</t>
  </si>
  <si>
    <t>Incoterm</t>
  </si>
  <si>
    <t>Oracle Code</t>
  </si>
  <si>
    <t>CISCO SYSTEMS C/O RYDER INTEGRATED LOGISTICS
724 HENRIETTA CREEK ROAD
ROANOKE,TX 76262
US</t>
  </si>
  <si>
    <t>Cisco Systems</t>
  </si>
  <si>
    <t>Org</t>
  </si>
  <si>
    <t>Lot Number</t>
  </si>
  <si>
    <t>Lot Count</t>
  </si>
  <si>
    <t>PID</t>
  </si>
  <si>
    <t>Serial Number</t>
  </si>
  <si>
    <t>Prefix</t>
  </si>
  <si>
    <t>COO</t>
  </si>
  <si>
    <t>Ship from</t>
  </si>
  <si>
    <t>ISO</t>
  </si>
  <si>
    <t>Ship to</t>
  </si>
  <si>
    <t>Timestamp</t>
  </si>
  <si>
    <t>TH5</t>
  </si>
  <si>
    <t>MY</t>
  </si>
  <si>
    <t>CN</t>
  </si>
  <si>
    <t>MX</t>
  </si>
  <si>
    <t>JP</t>
  </si>
  <si>
    <t>TH</t>
  </si>
  <si>
    <t>Serial No</t>
  </si>
  <si>
    <t>Inventory</t>
  </si>
  <si>
    <t>QTY</t>
  </si>
  <si>
    <t>Packing Lot</t>
  </si>
  <si>
    <t>NL</t>
  </si>
  <si>
    <t>PH</t>
  </si>
  <si>
    <t>SG</t>
  </si>
  <si>
    <t>TW</t>
  </si>
  <si>
    <t>SO#</t>
  </si>
  <si>
    <t>PO#</t>
  </si>
  <si>
    <t>Qty</t>
  </si>
  <si>
    <t>HTS Code</t>
  </si>
  <si>
    <t>Address</t>
  </si>
  <si>
    <t>Freight Forwarder</t>
  </si>
  <si>
    <t>Hawb</t>
  </si>
  <si>
    <t>Size</t>
  </si>
  <si>
    <t>Move Order#</t>
  </si>
  <si>
    <t>Inv#</t>
  </si>
  <si>
    <t>Service Shipment Request (2072)</t>
  </si>
  <si>
    <t>Customer</t>
  </si>
  <si>
    <t>Repair Order</t>
  </si>
  <si>
    <t>Cisco Delivery#</t>
  </si>
  <si>
    <t>for Shipment</t>
  </si>
  <si>
    <t>for Superload</t>
  </si>
  <si>
    <t>Order Type</t>
  </si>
  <si>
    <t>FBN FG SAMPLE &amp; NO CHARGE</t>
  </si>
  <si>
    <t>Customer Number</t>
  </si>
  <si>
    <t>Price List</t>
  </si>
  <si>
    <t>CISCO for ASN Upload</t>
  </si>
  <si>
    <t>P5-SVS-CS</t>
  </si>
  <si>
    <t>Ea / Box</t>
  </si>
  <si>
    <t>TH6</t>
  </si>
  <si>
    <t>Data Type</t>
  </si>
  <si>
    <t>Customer PO</t>
  </si>
  <si>
    <t>Ship To Location</t>
  </si>
  <si>
    <t>FOB</t>
  </si>
  <si>
    <t>Book Flag (Y/N)</t>
  </si>
  <si>
    <t>Ordered Item</t>
  </si>
  <si>
    <t>Quantity</t>
  </si>
  <si>
    <t>Request date</t>
  </si>
  <si>
    <t>Schedule Ship date</t>
  </si>
  <si>
    <t>Promise Date</t>
  </si>
  <si>
    <t>Customer BOI Name</t>
  </si>
  <si>
    <t>Customer PO Price</t>
  </si>
  <si>
    <t>Customer PO Price Currency</t>
  </si>
  <si>
    <t>Internal Pick Slip#</t>
  </si>
  <si>
    <t>Customer Delivery ID</t>
  </si>
  <si>
    <t>Customer Trip ID</t>
  </si>
  <si>
    <t>Use Customer's price for ship? (Y/N)</t>
  </si>
  <si>
    <t>Customer's Price</t>
  </si>
  <si>
    <t>Currency Code</t>
  </si>
  <si>
    <t>Customer PO Line</t>
  </si>
  <si>
    <t>H</t>
  </si>
  <si>
    <t>Y</t>
  </si>
  <si>
    <t>L</t>
  </si>
  <si>
    <t>USD</t>
  </si>
  <si>
    <t>Tracker</t>
  </si>
  <si>
    <t>P5-TH6S-CS</t>
  </si>
  <si>
    <t>32X42X31</t>
  </si>
  <si>
    <t>BW</t>
  </si>
  <si>
    <t>GW</t>
  </si>
  <si>
    <t>Ship Date</t>
  </si>
  <si>
    <t>Source</t>
  </si>
  <si>
    <t>FBN Invoice</t>
  </si>
  <si>
    <t>Delivery No.</t>
  </si>
  <si>
    <t>HAWB</t>
  </si>
  <si>
    <t>Charged</t>
  </si>
  <si>
    <t>1. วางไฟล์ FITS ลงในหน้า 'fits'</t>
  </si>
  <si>
    <t>3. กดปุ่ม            โปรแกรม save หน้า 'shipment' ลงใน folder temp</t>
  </si>
  <si>
    <t>2. ไปหน้า 'shipment' กดปุ่ม            และทำการตรวจสอบข้อมูล</t>
  </si>
  <si>
    <t>To</t>
  </si>
  <si>
    <t>CC</t>
  </si>
  <si>
    <t>Subject</t>
  </si>
  <si>
    <t>Attach</t>
  </si>
  <si>
    <t>Total Weight (kg)</t>
  </si>
  <si>
    <t>&gt;Please kindly provide Hawb for Service Shipment.</t>
  </si>
  <si>
    <t>Box Count</t>
  </si>
  <si>
    <t>Box Size (cm)</t>
  </si>
  <si>
    <t>6. ไปหน้า 'uload' กดปุ่ม            โปรแกรมสร้างไฟล์สำหรับ Uload</t>
  </si>
  <si>
    <t>7. ทำ FBN invoice และใส่เลข Inv# ให้ครบถ้วน</t>
  </si>
  <si>
    <t>8. ทำ C3 shipping process</t>
  </si>
  <si>
    <t>9. ทำ CICE เมื่อใส่ข้อมูลครบ ให้ไปหน้า 'shipment' กดปุ่ม            โปรแกรมจะตรวจสอบข้อมูลและดาวน์โหลดไฟล์ลงใน folder temp</t>
  </si>
  <si>
    <t>10. ไปหน้า 'after' กดปุ่ม            โปรแกรมจะอัพเดตข้อมูลลง Tracker</t>
  </si>
  <si>
    <t>4. ส่งหน้า 'shipment' ไปให้ Mfg team ทำการใส่จำนวนกล่อง และ น้ำหนัก</t>
  </si>
  <si>
    <t>5. ไปหน้า 'mail' กดปุ่ม            โปรแกรมจะสร้าง email ไปหา Traffic team เพื่อขอ Hawb</t>
  </si>
  <si>
    <t>DE</t>
  </si>
  <si>
    <t>US</t>
  </si>
  <si>
    <t>Regards,</t>
  </si>
  <si>
    <t>Jariya</t>
  </si>
  <si>
    <t>Price Unit</t>
  </si>
  <si>
    <t xml:space="preserve">sumalee yasutthi &lt;sumalee_y@fabrinet.co.th&gt;; sununta tanikkul &lt;sununta_t@fabrinet.co.th&gt;; </t>
  </si>
  <si>
    <t>FCA</t>
  </si>
  <si>
    <t>Order Date</t>
  </si>
  <si>
    <t>Salesperson</t>
  </si>
  <si>
    <t>Customer PO amount</t>
  </si>
  <si>
    <t>CC E-Mail To</t>
  </si>
  <si>
    <t>ASC606</t>
  </si>
  <si>
    <t>Customer Job</t>
  </si>
  <si>
    <t>NNNNN</t>
  </si>
  <si>
    <t>Size (CMS)</t>
  </si>
  <si>
    <t>TTL Box</t>
  </si>
  <si>
    <t>;phanthirawarat tonseenon &lt;phanthirawaratt@fabrinet.co.th&gt;;&lt;rodsukon_j@fabrinet.co.th&gt; ;pornsak_k@fabrinet.co.th&gt;;suriyanj@fabrinet.co.th&gt;';khanitta butsrinon; ;kasemsri ananaue; nathawit panichchob; sawitree thapparak; yanee wiboonsak;'kbutsrin@cisco.com';pinya_s@fabrinet.co.th;taneenart_r@fabrinet.co.th  ;Pharinya Tatip;Prakaidow Saengthong;Naruemon Tobua; Panantaphat Sarawan;</t>
  </si>
  <si>
    <t>Jariya_m (#5324)</t>
  </si>
  <si>
    <t>Hi K.Kawita,</t>
  </si>
  <si>
    <t>FET-10G=</t>
  </si>
  <si>
    <t>10-2566-02</t>
  </si>
  <si>
    <t>SFP-10G-SR=</t>
  </si>
  <si>
    <t>SFP-25G-SR-S=</t>
  </si>
  <si>
    <t>DS-SFP-FC8G-SW=</t>
  </si>
  <si>
    <t>DS-SFP-FC32G-SW=</t>
  </si>
  <si>
    <t>QSFP-40G-CSR4=</t>
  </si>
  <si>
    <t>QSFP-100G-CWDM4-S=</t>
  </si>
  <si>
    <t>QSFP-100G-LR4-S=</t>
  </si>
  <si>
    <t>QSFP-100G-SM-SR=</t>
  </si>
  <si>
    <t>QSFP-100G-SR4-S=</t>
  </si>
  <si>
    <t>WSP-Q40GLR4L=</t>
  </si>
  <si>
    <t>ONS-CFP2-WDM=</t>
  </si>
  <si>
    <t>QSFP-40G-LR4-S=</t>
  </si>
  <si>
    <t>QSFP-40G-LR4=</t>
  </si>
  <si>
    <t>QSFP-40G-SR-BD=</t>
  </si>
  <si>
    <t>[DROP SHIP] Service Shipment_20220705</t>
  </si>
  <si>
    <t>DS-SFP-FC16G-SW=</t>
  </si>
  <si>
    <t>QSFP-40G-SR4=</t>
  </si>
  <si>
    <t>RAT1097438</t>
  </si>
  <si>
    <t>RAT1097441</t>
  </si>
  <si>
    <t>RAT1097443</t>
  </si>
  <si>
    <t>RAT1097445</t>
  </si>
  <si>
    <t>RAT1097447</t>
  </si>
  <si>
    <t>RAT1097449</t>
  </si>
  <si>
    <t>RAT1097454</t>
  </si>
  <si>
    <t>RAT1097456</t>
  </si>
  <si>
    <t>RAT1097457</t>
  </si>
  <si>
    <t>RAT1097460</t>
  </si>
  <si>
    <t>RAT1097464</t>
  </si>
  <si>
    <t>RAT1097467</t>
  </si>
  <si>
    <t>RAT1097472</t>
  </si>
  <si>
    <t>RAT1097476</t>
  </si>
  <si>
    <t>RAT1097480</t>
  </si>
  <si>
    <t>RAT1097484</t>
  </si>
  <si>
    <t>RAT1097486</t>
  </si>
  <si>
    <t>Attn: Aman K. Pathak (Logistics Manager) | Phone Number: 817-490-6061 | Email: Aman_Pathak@ryder.com | Coo: CN (3), MY (3)</t>
  </si>
  <si>
    <t>Attn: Aman K. Pathak (Logistics Manager) | Phone Number: 817-490-6061 | Email: Aman_Pathak@ryder.com | Coo: CN (8)</t>
  </si>
  <si>
    <t>Attn: Aman K. Pathak (Logistics Manager) | Phone Number: 817-490-6061 | Email: Aman_Pathak@ryder.com | Coo: CN (2), MY (1)</t>
  </si>
  <si>
    <t>Attn: Aman K. Pathak (Logistics Manager) | Phone Number: 817-490-6061 | Email: Aman_Pathak@ryder.com | Coo: CN (4)</t>
  </si>
  <si>
    <t>Attn: Aman K. Pathak (Logistics Manager) | Phone Number: 817-490-6061 | Email: Aman_Pathak@ryder.com | Coo: CN (1), MY (2)</t>
  </si>
  <si>
    <t>Attn: Aman K. Pathak (Logistics Manager) | Phone Number: 817-490-6061 | Email: Aman_Pathak@ryder.com | Coo: CN (1)</t>
  </si>
  <si>
    <t>Attn: Aman K. Pathak (Logistics Manager) | Phone Number: 817-490-6061 | Email: Aman_Pathak@ryder.com | Coo: CN (2)</t>
  </si>
  <si>
    <t>Attn: Aman K. Pathak (Logistics Manager) | Phone Number: 817-490-6061 | Email: Aman_Pathak@ryder.com | Coo: MY (1)</t>
  </si>
  <si>
    <t>Attn: Aman K. Pathak (Logistics Manager) | Phone Number: 817-490-6061 | Email: Aman_Pathak@ryder.com | Coo: CN (1), MY (3)</t>
  </si>
  <si>
    <t>Attn: Aman K. Pathak (Logistics Manager) | Phone Number: 817-490-6061 | Email: Aman_Pathak@ryder.com | Coo: MY (2)</t>
  </si>
  <si>
    <t>2737783</t>
  </si>
  <si>
    <t>156294486</t>
  </si>
  <si>
    <t>161654580</t>
  </si>
  <si>
    <t>9525323533</t>
  </si>
  <si>
    <t>RAT1102214</t>
  </si>
  <si>
    <t>CFP2-WDM-D-1HL=</t>
  </si>
  <si>
    <t>ACA2312004C</t>
  </si>
  <si>
    <t>ACZ2452003M</t>
  </si>
  <si>
    <t>P5-TEFR-CS</t>
  </si>
  <si>
    <t>RAT1102216</t>
  </si>
  <si>
    <t>ACW24271D90</t>
  </si>
  <si>
    <t>ACW24271D8N</t>
  </si>
  <si>
    <t>ACW24271D55</t>
  </si>
  <si>
    <t>ACW24370GD9</t>
  </si>
  <si>
    <t>ACW24271DT6</t>
  </si>
  <si>
    <t>ACW24290BS8</t>
  </si>
  <si>
    <t>ACW24280Q09</t>
  </si>
  <si>
    <t>ACW2429265A</t>
  </si>
  <si>
    <t>ACW2429262R</t>
  </si>
  <si>
    <t>ACW24280QAF</t>
  </si>
  <si>
    <t>ACW24271D5B</t>
  </si>
  <si>
    <t>ACW2429262N</t>
  </si>
  <si>
    <t>ACW24261FL9</t>
  </si>
  <si>
    <t>ATTN: Nagaraj M. | Phone: 080-30801362</t>
  </si>
  <si>
    <t>Flextronics Technologies India Private Limited
70 A, SVR Fortune,
Electronic City, Phase I
Hosur Road
Bangalore Karnataka
560100, India</t>
  </si>
  <si>
    <t>T44</t>
  </si>
  <si>
    <t>(DHL Acc# 951818297)</t>
  </si>
  <si>
    <t>ACA2312004C | TH
ACZ2452003M | CN</t>
  </si>
  <si>
    <t>ACW24271D90 | CN
ACW24271D8N | CN
ACW24271D55 | CN
ACW24370GD9 | CN
ACW24271DT6 | CN
ACW24290BS8 | CN
ACW24280Q09 | CN
ACW2429265A | CN
ACW2429262R | CN
ACW24280QAF | CN
ACW24271D5B | CN
ACW2429262N | CN
ACW24261FL9 | CN</t>
  </si>
  <si>
    <t>T25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</si>
</sst>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164" formatCode="[$-409]mm/dd/yyyy\ hh:mm:ss"/>
    <numFmt numFmtId="165" formatCode="dd\-mmm\-yyyy"/>
    <numFmt numFmtId="166" formatCode="00"/>
    <numFmt numFmtId="167" formatCode="[$-409]dd\-mmm\-yy;@"/>
    <numFmt numFmtId="168" formatCode="_-[$$-409]* #,##0.00_ ;_-[$$-409]* \-#,##0.00\ ;_-[$$-409]* &quot;-&quot;??_ ;_-@_ "/>
    <numFmt numFmtId="169" formatCode="0.0"/>
    <numFmt numFmtId="170" formatCode="_(&quot;฿&quot;* #,##0.00_);_(&quot;฿&quot;* \(#,##0.00\);_(&quot;฿&quot;* &quot;-&quot;??_);_(@_)"/>
  </numFmts>
  <fonts count="17" x14ac:knownFonts="1">
    <font>
      <sz val="11"/>
      <color theme="1"/>
      <name val="Calibri"/>
      <family val="2"/>
      <scheme val="minor"/>
    </font>
    <font>
      <sz val="8"/>
      <name val="Segoe UI"/>
      <family val="2"/>
    </font>
    <font>
      <b/>
      <sz val="8"/>
      <name val="Segoe U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Segoe UI"/>
      <family val="2"/>
    </font>
    <font>
      <sz val="10"/>
      <color theme="1" tint="4.9989318521683403E-2"/>
      <name val="Segoe UI"/>
      <family val="2"/>
    </font>
    <font>
      <sz val="8"/>
      <color theme="1" tint="4.9989318521683403E-2"/>
      <name val="Segoe UI"/>
      <family val="2"/>
    </font>
    <font>
      <sz val="8"/>
      <color rgb="FF0070C0"/>
      <name val="Segoe UI"/>
      <family val="2"/>
    </font>
    <font>
      <sz val="10"/>
      <color theme="1"/>
      <name val="Segoe UI"/>
      <family val="2"/>
    </font>
    <font>
      <b/>
      <sz val="10"/>
      <color theme="1" tint="4.9989318521683403E-2"/>
      <name val="Segoe U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Tahoma"/>
      <family val="2"/>
    </font>
    <font>
      <b/>
      <sz val="10"/>
      <color rgb="FFFFFFFF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/>
    <xf numFmtId="0" fontId="3" fillId="0" borderId="0"/>
    <xf numFmtId="0" fontId="15" fillId="0" borderId="0"/>
  </cellStyleXfs>
  <cellXfs count="100">
    <xf numFmtId="0" fontId="0" fillId="0" borderId="0" xfId="0"/>
    <xf numFmtId="0" fontId="6" fillId="2" borderId="0" xfId="0" applyFont="1" applyFill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66" fontId="8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5" fontId="1" fillId="2" borderId="3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165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0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4" xfId="0" applyNumberFormat="1" applyFont="1" applyFill="1" applyBorder="1" applyAlignment="1">
      <alignment horizontal="center" vertical="center"/>
    </xf>
    <xf numFmtId="49" fontId="1" fillId="2" borderId="3" xfId="0" applyNumberFormat="1" applyFont="1" applyFill="1" applyBorder="1" applyAlignment="1">
      <alignment horizontal="center" vertical="center" wrapText="1"/>
    </xf>
    <xf numFmtId="0" fontId="0" fillId="2" borderId="0" xfId="0" applyFont="1" applyFill="1" applyAlignment="1">
      <alignment horizontal="left" vertical="center"/>
    </xf>
    <xf numFmtId="0" fontId="0" fillId="2" borderId="0" xfId="0" applyFont="1" applyFill="1" applyAlignment="1">
      <alignment vertical="center"/>
    </xf>
    <xf numFmtId="0" fontId="0" fillId="3" borderId="5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 vertical="center" wrapText="1"/>
    </xf>
    <xf numFmtId="168" fontId="7" fillId="0" borderId="0" xfId="1" applyNumberFormat="1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164" fontId="10" fillId="2" borderId="3" xfId="0" applyNumberFormat="1" applyFont="1" applyFill="1" applyBorder="1" applyAlignment="1">
      <alignment horizontal="center" vertical="center" wrapText="1"/>
    </xf>
    <xf numFmtId="169" fontId="7" fillId="0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168" fontId="11" fillId="0" borderId="8" xfId="1" applyNumberFormat="1" applyFont="1" applyFill="1" applyBorder="1" applyAlignment="1">
      <alignment horizontal="center" vertical="center" wrapText="1"/>
    </xf>
    <xf numFmtId="169" fontId="11" fillId="2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167" fontId="11" fillId="3" borderId="8" xfId="0" applyNumberFormat="1" applyFont="1" applyFill="1" applyBorder="1" applyAlignment="1">
      <alignment horizontal="center" vertical="center" wrapText="1"/>
    </xf>
    <xf numFmtId="49" fontId="11" fillId="3" borderId="8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12" fillId="0" borderId="0" xfId="0" applyFont="1" applyAlignment="1">
      <alignment horizontal="left"/>
    </xf>
    <xf numFmtId="47" fontId="12" fillId="0" borderId="0" xfId="0" applyNumberFormat="1" applyFont="1"/>
    <xf numFmtId="0" fontId="7" fillId="3" borderId="8" xfId="0" applyFont="1" applyFill="1" applyBorder="1" applyAlignment="1">
      <alignment horizontal="center" vertical="center" wrapText="1"/>
    </xf>
    <xf numFmtId="167" fontId="7" fillId="3" borderId="8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169" fontId="7" fillId="3" borderId="8" xfId="0" applyNumberFormat="1" applyFont="1" applyFill="1" applyBorder="1" applyAlignment="1">
      <alignment horizontal="center" vertical="center" wrapText="1"/>
    </xf>
    <xf numFmtId="167" fontId="7" fillId="3" borderId="1" xfId="0" applyNumberFormat="1" applyFont="1" applyFill="1" applyBorder="1" applyAlignment="1">
      <alignment horizontal="center" vertical="center" wrapText="1"/>
    </xf>
    <xf numFmtId="167" fontId="7" fillId="3" borderId="2" xfId="0" applyNumberFormat="1" applyFont="1" applyFill="1" applyBorder="1" applyAlignment="1">
      <alignment horizontal="center" vertical="center" wrapText="1"/>
    </xf>
    <xf numFmtId="15" fontId="6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left"/>
    </xf>
    <xf numFmtId="47" fontId="13" fillId="0" borderId="0" xfId="0" applyNumberFormat="1" applyFont="1"/>
    <xf numFmtId="0" fontId="6" fillId="5" borderId="7" xfId="0" applyFont="1" applyFill="1" applyBorder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47" fontId="14" fillId="0" borderId="0" xfId="0" applyNumberFormat="1" applyFont="1"/>
    <xf numFmtId="0" fontId="10" fillId="2" borderId="6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167" fontId="7" fillId="6" borderId="8" xfId="0" applyNumberFormat="1" applyFont="1" applyFill="1" applyBorder="1" applyAlignment="1">
      <alignment horizontal="center" vertical="center" wrapText="1"/>
    </xf>
    <xf numFmtId="0" fontId="7" fillId="8" borderId="8" xfId="0" applyFont="1" applyFill="1" applyBorder="1" applyAlignment="1">
      <alignment horizontal="center" vertical="center" wrapText="1"/>
    </xf>
    <xf numFmtId="0" fontId="7" fillId="8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11" fillId="8" borderId="0" xfId="0" applyFont="1" applyFill="1" applyBorder="1" applyAlignment="1">
      <alignment horizontal="center" vertical="center" wrapText="1"/>
    </xf>
    <xf numFmtId="167" fontId="7" fillId="8" borderId="8" xfId="0" applyNumberFormat="1" applyFont="1" applyFill="1" applyBorder="1" applyAlignment="1">
      <alignment horizontal="center" vertical="center" wrapText="1"/>
    </xf>
    <xf numFmtId="49" fontId="7" fillId="6" borderId="8" xfId="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10" fillId="8" borderId="7" xfId="0" applyNumberFormat="1" applyFont="1" applyFill="1" applyBorder="1" applyAlignment="1">
      <alignment horizontal="center" vertical="center" wrapText="1"/>
    </xf>
    <xf numFmtId="0" fontId="10" fillId="9" borderId="7" xfId="0" applyFont="1" applyFill="1" applyBorder="1" applyAlignment="1">
      <alignment horizontal="center" vertical="center" wrapText="1"/>
    </xf>
    <xf numFmtId="0" fontId="14" fillId="9" borderId="0" xfId="0" applyFont="1" applyFill="1"/>
    <xf numFmtId="0" fontId="13" fillId="9" borderId="0" xfId="0" applyFont="1" applyFill="1"/>
    <xf numFmtId="0" fontId="12" fillId="9" borderId="0" xfId="0" applyFont="1" applyFill="1"/>
    <xf numFmtId="0" fontId="10" fillId="9" borderId="3" xfId="0" applyFont="1" applyFill="1" applyBorder="1" applyAlignment="1">
      <alignment horizontal="center" vertical="center" wrapText="1"/>
    </xf>
    <xf numFmtId="0" fontId="6" fillId="8" borderId="7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49" fontId="7" fillId="0" borderId="8" xfId="0" applyNumberFormat="1" applyFont="1" applyFill="1" applyBorder="1" applyAlignment="1">
      <alignment horizontal="center" vertical="center" wrapText="1"/>
    </xf>
    <xf numFmtId="0" fontId="16" fillId="10" borderId="0" xfId="0" applyFont="1" applyFill="1" applyBorder="1" applyAlignment="1">
      <alignment horizontal="center" vertical="center" wrapText="1"/>
    </xf>
    <xf numFmtId="49" fontId="16" fillId="10" borderId="0" xfId="0" applyNumberFormat="1" applyFont="1" applyFill="1" applyBorder="1" applyAlignment="1">
      <alignment horizontal="center" vertical="center" wrapText="1"/>
    </xf>
    <xf numFmtId="168" fontId="16" fillId="10" borderId="0" xfId="1" applyNumberFormat="1" applyFont="1" applyFill="1" applyBorder="1" applyAlignment="1">
      <alignment horizontal="center" vertical="center" wrapText="1"/>
    </xf>
    <xf numFmtId="169" fontId="16" fillId="10" borderId="0" xfId="0" applyNumberFormat="1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 wrapText="1"/>
    </xf>
    <xf numFmtId="0" fontId="5" fillId="3" borderId="3" xfId="3" applyFill="1" applyBorder="1" applyAlignment="1">
      <alignment horizontal="center" vertical="center" wrapText="1"/>
    </xf>
  </cellXfs>
  <cellStyles count="7">
    <cellStyle name="Currency" xfId="1" builtinId="4"/>
    <cellStyle name="Currency 2" xfId="2"/>
    <cellStyle name="Hyperlink" xfId="3" builtinId="8"/>
    <cellStyle name="Normal" xfId="0" builtinId="0"/>
    <cellStyle name="Normal 2" xfId="4"/>
    <cellStyle name="Normal 21" xfId="5"/>
    <cellStyle name="Normal 3" xfId="6"/>
  </cellStyles>
  <dxfs count="2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1381125</xdr:colOff>
      <xdr:row>2</xdr:row>
      <xdr:rowOff>66675</xdr:rowOff>
    </xdr:from>
    <xdr:to>
      <xdr:col>1</xdr:col>
      <xdr:colOff>1533525</xdr:colOff>
      <xdr:row>2</xdr:row>
      <xdr:rowOff>219075</xdr:rowOff>
    </xdr:to>
    <xdr:pic>
      <xdr:nvPicPr>
        <xdr:cNvPr id="206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56197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457200</xdr:colOff>
      <xdr:row>3</xdr:row>
      <xdr:rowOff>47625</xdr:rowOff>
    </xdr:from>
    <xdr:to>
      <xdr:col>1</xdr:col>
      <xdr:colOff>609600</xdr:colOff>
      <xdr:row>3</xdr:row>
      <xdr:rowOff>200025</xdr:rowOff>
    </xdr:to>
    <xdr:pic>
      <xdr:nvPicPr>
        <xdr:cNvPr id="2062" name="Picture 1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9057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1104900</xdr:colOff>
      <xdr:row>6</xdr:row>
      <xdr:rowOff>47625</xdr:rowOff>
    </xdr:from>
    <xdr:to>
      <xdr:col>1</xdr:col>
      <xdr:colOff>1257300</xdr:colOff>
      <xdr:row>6</xdr:row>
      <xdr:rowOff>200025</xdr:rowOff>
    </xdr:to>
    <xdr:pic>
      <xdr:nvPicPr>
        <xdr:cNvPr id="2063" name="Picture 1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9700" y="153352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1114425</xdr:colOff>
      <xdr:row>10</xdr:row>
      <xdr:rowOff>47625</xdr:rowOff>
    </xdr:from>
    <xdr:to>
      <xdr:col>1</xdr:col>
      <xdr:colOff>1266825</xdr:colOff>
      <xdr:row>10</xdr:row>
      <xdr:rowOff>200025</xdr:rowOff>
    </xdr:to>
    <xdr:pic>
      <xdr:nvPicPr>
        <xdr:cNvPr id="2064" name="Picture 1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" y="252412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1047750</xdr:colOff>
      <xdr:row>5</xdr:row>
      <xdr:rowOff>47625</xdr:rowOff>
    </xdr:from>
    <xdr:to>
      <xdr:col>1</xdr:col>
      <xdr:colOff>1200150</xdr:colOff>
      <xdr:row>5</xdr:row>
      <xdr:rowOff>200025</xdr:rowOff>
    </xdr:to>
    <xdr:pic>
      <xdr:nvPicPr>
        <xdr:cNvPr id="2065" name="Pictur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128587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2466975</xdr:colOff>
      <xdr:row>9</xdr:row>
      <xdr:rowOff>47625</xdr:rowOff>
    </xdr:from>
    <xdr:to>
      <xdr:col>1</xdr:col>
      <xdr:colOff>2619375</xdr:colOff>
      <xdr:row>9</xdr:row>
      <xdr:rowOff>200025</xdr:rowOff>
    </xdr:to>
    <xdr:pic>
      <xdr:nvPicPr>
        <xdr:cNvPr id="2066" name="Picture 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1775" y="227647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866775</xdr:colOff>
      <xdr:row>0</xdr:row>
      <xdr:rowOff>38100</xdr:rowOff>
    </xdr:from>
    <xdr:to>
      <xdr:col>4</xdr:col>
      <xdr:colOff>1171575</xdr:colOff>
      <xdr:row>0</xdr:row>
      <xdr:rowOff>342900</xdr:rowOff>
    </xdr:to>
    <xdr:pic macro="[0]!newjob">
      <xdr:nvPicPr>
        <xdr:cNvPr id="1031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86275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352425</xdr:colOff>
      <xdr:row>0</xdr:row>
      <xdr:rowOff>38100</xdr:rowOff>
    </xdr:from>
    <xdr:to>
      <xdr:col>5</xdr:col>
      <xdr:colOff>714375</xdr:colOff>
      <xdr:row>0</xdr:row>
      <xdr:rowOff>342900</xdr:rowOff>
    </xdr:to>
    <xdr:pic macro="[0]!exportsheet">
      <xdr:nvPicPr>
        <xdr:cNvPr id="1032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1150" y="38100"/>
          <a:ext cx="3619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1333500</xdr:colOff>
      <xdr:row>0</xdr:row>
      <xdr:rowOff>38100</xdr:rowOff>
    </xdr:from>
    <xdr:to>
      <xdr:col>5</xdr:col>
      <xdr:colOff>219075</xdr:colOff>
      <xdr:row>0</xdr:row>
      <xdr:rowOff>342900</xdr:rowOff>
    </xdr:to>
    <xdr:pic macro="[0]!downloadcice">
      <xdr:nvPicPr>
        <xdr:cNvPr id="1033" name="Picture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uload">
      <xdr:nvPicPr>
        <xdr:cNvPr id="4099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endmail">
      <xdr:nvPicPr>
        <xdr:cNvPr id="5123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7171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file:///\\fbn-fs01\BU-Data\CISCO\900_FA\Service\SV_Shipped.xlsx" TargetMode="External"/><Relationship Id="rId1" Type="http://schemas.openxmlformats.org/officeDocument/2006/relationships/hyperlink" Target="file:///\\fbn-fs01\BU-Data\CISCO\900_FA\Cisco%20Shared%20Drive\db\tracker_fa%20rtv.xlsb" TargetMode="Externa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1"/>
  <sheetViews>
    <sheetView workbookViewId="0">
      <selection activeCell="B2" sqref="B2:B11"/>
    </sheetView>
  </sheetViews>
  <sheetFormatPr defaultColWidth="4.5703125" defaultRowHeight="20.100000000000001" customHeight="1" x14ac:dyDescent="0.25"/>
  <cols>
    <col min="1" max="1" width="4.5703125" style="9"/>
    <col min="2" max="2" width="80.5703125" style="8" customWidth="1"/>
    <col min="3" max="3" width="4.5703125" style="9"/>
    <col min="4" max="5" width="20.5703125" style="9" customWidth="1"/>
    <col min="6" max="6" width="4.5703125" style="9"/>
    <col min="7" max="8" width="25.5703125" style="9" customWidth="1"/>
    <col min="9" max="16384" width="4.5703125" style="9"/>
  </cols>
  <sheetData>
    <row r="2" spans="2:8" ht="20.100000000000001" customHeight="1" x14ac:dyDescent="0.25">
      <c r="B2" s="8" t="s">
        <v>92</v>
      </c>
      <c r="D2" s="96" t="s">
        <v>47</v>
      </c>
      <c r="E2" s="97"/>
      <c r="G2" s="96" t="s">
        <v>48</v>
      </c>
      <c r="H2" s="97"/>
    </row>
    <row r="3" spans="2:8" ht="20.100000000000001" customHeight="1" x14ac:dyDescent="0.25">
      <c r="B3" s="8" t="s">
        <v>94</v>
      </c>
      <c r="D3" s="10" t="s">
        <v>19</v>
      </c>
      <c r="E3" s="11" t="s">
        <v>54</v>
      </c>
      <c r="G3" s="10" t="s">
        <v>49</v>
      </c>
      <c r="H3" s="11" t="s">
        <v>50</v>
      </c>
    </row>
    <row r="4" spans="2:8" ht="20.100000000000001" customHeight="1" x14ac:dyDescent="0.25">
      <c r="B4" s="8" t="s">
        <v>93</v>
      </c>
      <c r="D4" s="10" t="s">
        <v>56</v>
      </c>
      <c r="E4" s="11" t="s">
        <v>82</v>
      </c>
      <c r="G4" s="10" t="s">
        <v>51</v>
      </c>
      <c r="H4" s="11">
        <v>2617</v>
      </c>
    </row>
    <row r="5" spans="2:8" ht="20.100000000000001" customHeight="1" x14ac:dyDescent="0.25">
      <c r="B5" s="8" t="s">
        <v>108</v>
      </c>
      <c r="D5" s="10" t="s">
        <v>40</v>
      </c>
      <c r="E5" s="11" t="s">
        <v>83</v>
      </c>
      <c r="G5" s="10" t="s">
        <v>52</v>
      </c>
      <c r="H5" s="11" t="s">
        <v>53</v>
      </c>
    </row>
    <row r="6" spans="2:8" ht="20.100000000000001" customHeight="1" x14ac:dyDescent="0.25">
      <c r="B6" s="8" t="s">
        <v>109</v>
      </c>
      <c r="D6" s="10" t="s">
        <v>55</v>
      </c>
      <c r="E6" s="11">
        <v>20</v>
      </c>
      <c r="G6" s="10" t="s">
        <v>121</v>
      </c>
      <c r="H6" s="11" t="s">
        <v>123</v>
      </c>
    </row>
    <row r="7" spans="2:8" ht="20.100000000000001" customHeight="1" x14ac:dyDescent="0.25">
      <c r="B7" s="8" t="s">
        <v>103</v>
      </c>
      <c r="D7" s="12"/>
      <c r="G7" s="10"/>
      <c r="H7" s="11"/>
    </row>
    <row r="8" spans="2:8" ht="20.100000000000001" customHeight="1" x14ac:dyDescent="0.25">
      <c r="B8" s="8" t="s">
        <v>104</v>
      </c>
    </row>
    <row r="9" spans="2:8" ht="20.100000000000001" customHeight="1" x14ac:dyDescent="0.25">
      <c r="B9" s="8" t="s">
        <v>105</v>
      </c>
    </row>
    <row r="10" spans="2:8" ht="20.100000000000001" customHeight="1" x14ac:dyDescent="0.25">
      <c r="B10" s="8" t="s">
        <v>106</v>
      </c>
    </row>
    <row r="11" spans="2:8" ht="20.100000000000001" customHeight="1" x14ac:dyDescent="0.25">
      <c r="B11" s="8" t="s">
        <v>107</v>
      </c>
    </row>
  </sheetData>
  <mergeCells count="2">
    <mergeCell ref="D2:E2"/>
    <mergeCell ref="G2:H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77"/>
  <sheetViews>
    <sheetView zoomScale="70" zoomScaleNormal="70" workbookViewId="0">
      <pane ySplit="1" topLeftCell="A2" activePane="bottomLeft" state="frozen"/>
      <selection pane="bottomLeft" activeCell="A2" sqref="A2:K16"/>
    </sheetView>
  </sheetViews>
  <sheetFormatPr defaultColWidth="4.5703125" defaultRowHeight="20.100000000000001" customHeight="1" x14ac:dyDescent="0.25"/>
  <cols>
    <col min="1" max="1" width="11.28515625" style="45" customWidth="1"/>
    <col min="2" max="2" width="18.85546875" style="45" customWidth="1"/>
    <col min="3" max="3" width="9" style="45" customWidth="1"/>
    <col min="4" max="4" width="22.85546875" style="45" customWidth="1"/>
    <col min="5" max="5" width="21.28515625" style="45" customWidth="1"/>
    <col min="6" max="6" width="17.42578125" style="45" customWidth="1"/>
    <col min="7" max="7" width="8.5703125" style="45" customWidth="1"/>
    <col min="8" max="8" width="18.42578125" style="88" customWidth="1"/>
    <col min="9" max="9" width="16.5703125" style="45" customWidth="1"/>
    <col min="10" max="10" width="11.7109375" style="88" customWidth="1"/>
    <col min="11" max="11" width="17.42578125" style="46" customWidth="1"/>
    <col min="12" max="16384" width="4.5703125" style="44"/>
  </cols>
  <sheetData>
    <row r="1" spans="1:11" ht="30" customHeight="1" x14ac:dyDescent="0.25">
      <c r="A1" s="43" t="s">
        <v>8</v>
      </c>
      <c r="B1" s="43" t="s">
        <v>9</v>
      </c>
      <c r="C1" s="43" t="s">
        <v>10</v>
      </c>
      <c r="D1" s="43" t="s">
        <v>11</v>
      </c>
      <c r="E1" s="43" t="s">
        <v>12</v>
      </c>
      <c r="F1" s="43" t="s">
        <v>13</v>
      </c>
      <c r="G1" s="43" t="s">
        <v>14</v>
      </c>
      <c r="H1" s="84" t="s">
        <v>15</v>
      </c>
      <c r="I1" s="43" t="s">
        <v>16</v>
      </c>
      <c r="J1" s="84" t="s">
        <v>17</v>
      </c>
      <c r="K1" s="83" t="s">
        <v>18</v>
      </c>
    </row>
    <row r="2" spans="1:11" ht="30" customHeight="1" x14ac:dyDescent="0.25">
      <c r="A2" s="82" t="s">
        <v>204</v>
      </c>
      <c r="B2" s="82" t="s">
        <v>179</v>
      </c>
      <c r="C2" s="82">
        <v>1</v>
      </c>
      <c r="D2" s="82" t="s">
        <v>180</v>
      </c>
      <c r="E2" s="82" t="s">
        <v>181</v>
      </c>
      <c r="F2" s="82" t="s">
        <v>130</v>
      </c>
      <c r="G2" s="82" t="s">
        <v>24</v>
      </c>
      <c r="H2" s="82" t="s">
        <v>183</v>
      </c>
      <c r="I2" s="82">
        <v>161754415</v>
      </c>
      <c r="J2" s="82" t="s">
        <v>200</v>
      </c>
      <c r="K2" s="82">
        <v>44747.413873807869</v>
      </c>
    </row>
    <row r="3" spans="1:11" ht="30" customHeight="1" x14ac:dyDescent="0.25">
      <c r="A3" s="82" t="s">
        <v>204</v>
      </c>
      <c r="B3" s="82" t="s">
        <v>179</v>
      </c>
      <c r="C3" s="82">
        <v>2</v>
      </c>
      <c r="D3" s="82" t="s">
        <v>180</v>
      </c>
      <c r="E3" s="82" t="s">
        <v>182</v>
      </c>
      <c r="F3" s="82" t="s">
        <v>130</v>
      </c>
      <c r="G3" s="82" t="s">
        <v>21</v>
      </c>
      <c r="H3" s="82" t="s">
        <v>183</v>
      </c>
      <c r="I3" s="82">
        <v>161754415</v>
      </c>
      <c r="J3" s="82" t="s">
        <v>200</v>
      </c>
      <c r="K3" s="82">
        <v>44747.413918900464</v>
      </c>
    </row>
    <row r="4" spans="1:11" ht="30" customHeight="1" x14ac:dyDescent="0.25">
      <c r="A4" s="82" t="s">
        <v>204</v>
      </c>
      <c r="B4" s="82" t="s">
        <v>184</v>
      </c>
      <c r="C4" s="82">
        <v>1</v>
      </c>
      <c r="D4" s="82" t="s">
        <v>142</v>
      </c>
      <c r="E4" s="82" t="s">
        <v>185</v>
      </c>
      <c r="F4" s="82" t="s">
        <v>130</v>
      </c>
      <c r="G4" s="82" t="s">
        <v>21</v>
      </c>
      <c r="H4" s="82" t="s">
        <v>183</v>
      </c>
      <c r="I4" s="82">
        <v>161767708</v>
      </c>
      <c r="J4" s="82" t="s">
        <v>200</v>
      </c>
      <c r="K4" s="82">
        <v>44747.413918900464</v>
      </c>
    </row>
    <row r="5" spans="1:11" ht="30" customHeight="1" x14ac:dyDescent="0.25">
      <c r="A5" s="82" t="s">
        <v>204</v>
      </c>
      <c r="B5" s="82" t="s">
        <v>184</v>
      </c>
      <c r="C5" s="82">
        <v>2</v>
      </c>
      <c r="D5" s="82" t="s">
        <v>142</v>
      </c>
      <c r="E5" s="82" t="s">
        <v>186</v>
      </c>
      <c r="F5" s="82" t="s">
        <v>130</v>
      </c>
      <c r="G5" s="82" t="s">
        <v>21</v>
      </c>
      <c r="H5" s="82" t="s">
        <v>183</v>
      </c>
      <c r="I5" s="82">
        <v>161767708</v>
      </c>
      <c r="J5" s="82" t="s">
        <v>200</v>
      </c>
      <c r="K5" s="82">
        <v>44747.413918900464</v>
      </c>
    </row>
    <row r="6" spans="1:11" ht="30" customHeight="1" x14ac:dyDescent="0.25">
      <c r="A6" s="82" t="s">
        <v>204</v>
      </c>
      <c r="B6" s="82" t="s">
        <v>184</v>
      </c>
      <c r="C6" s="82">
        <v>3</v>
      </c>
      <c r="D6" s="82" t="s">
        <v>142</v>
      </c>
      <c r="E6" s="82" t="s">
        <v>187</v>
      </c>
      <c r="F6" s="82" t="s">
        <v>130</v>
      </c>
      <c r="G6" s="82" t="s">
        <v>21</v>
      </c>
      <c r="H6" s="82" t="s">
        <v>183</v>
      </c>
      <c r="I6" s="82">
        <v>161767708</v>
      </c>
      <c r="J6" s="82" t="s">
        <v>200</v>
      </c>
      <c r="K6" s="82">
        <v>44747.413918900464</v>
      </c>
    </row>
    <row r="7" spans="1:11" ht="30" customHeight="1" x14ac:dyDescent="0.25">
      <c r="A7" s="82" t="s">
        <v>204</v>
      </c>
      <c r="B7" s="82" t="s">
        <v>184</v>
      </c>
      <c r="C7" s="82">
        <v>4</v>
      </c>
      <c r="D7" s="82" t="s">
        <v>142</v>
      </c>
      <c r="E7" s="82" t="s">
        <v>188</v>
      </c>
      <c r="F7" s="82" t="s">
        <v>130</v>
      </c>
      <c r="G7" s="82" t="s">
        <v>21</v>
      </c>
      <c r="H7" s="82" t="s">
        <v>183</v>
      </c>
      <c r="I7" s="82">
        <v>161767708</v>
      </c>
      <c r="J7" s="82" t="s">
        <v>200</v>
      </c>
      <c r="K7" s="82">
        <v>44747.413918900464</v>
      </c>
    </row>
    <row r="8" spans="1:11" ht="30" customHeight="1" x14ac:dyDescent="0.25">
      <c r="A8" s="82" t="s">
        <v>204</v>
      </c>
      <c r="B8" s="82" t="s">
        <v>184</v>
      </c>
      <c r="C8" s="82">
        <v>5</v>
      </c>
      <c r="D8" s="82" t="s">
        <v>142</v>
      </c>
      <c r="E8" s="82" t="s">
        <v>189</v>
      </c>
      <c r="F8" s="82" t="s">
        <v>130</v>
      </c>
      <c r="G8" s="82" t="s">
        <v>21</v>
      </c>
      <c r="H8" s="82" t="s">
        <v>183</v>
      </c>
      <c r="I8" s="82">
        <v>161767708</v>
      </c>
      <c r="J8" s="82" t="s">
        <v>200</v>
      </c>
      <c r="K8" s="82">
        <v>44747.413918900464</v>
      </c>
    </row>
    <row r="9" spans="1:11" ht="30" customHeight="1" x14ac:dyDescent="0.25">
      <c r="A9" s="82" t="s">
        <v>204</v>
      </c>
      <c r="B9" s="82" t="s">
        <v>184</v>
      </c>
      <c r="C9" s="82">
        <v>6</v>
      </c>
      <c r="D9" s="82" t="s">
        <v>142</v>
      </c>
      <c r="E9" s="82" t="s">
        <v>190</v>
      </c>
      <c r="F9" s="82" t="s">
        <v>130</v>
      </c>
      <c r="G9" s="82" t="s">
        <v>21</v>
      </c>
      <c r="H9" s="82" t="s">
        <v>183</v>
      </c>
      <c r="I9" s="82">
        <v>161767708</v>
      </c>
      <c r="J9" s="82" t="s">
        <v>200</v>
      </c>
      <c r="K9" s="82">
        <v>44747.413918900464</v>
      </c>
    </row>
    <row r="10" spans="1:11" ht="30" customHeight="1" x14ac:dyDescent="0.25">
      <c r="A10" s="82" t="s">
        <v>204</v>
      </c>
      <c r="B10" s="82" t="s">
        <v>184</v>
      </c>
      <c r="C10" s="82">
        <v>7</v>
      </c>
      <c r="D10" s="82" t="s">
        <v>142</v>
      </c>
      <c r="E10" s="82" t="s">
        <v>191</v>
      </c>
      <c r="F10" s="82" t="s">
        <v>130</v>
      </c>
      <c r="G10" s="82" t="s">
        <v>21</v>
      </c>
      <c r="H10" s="82" t="s">
        <v>183</v>
      </c>
      <c r="I10" s="82">
        <v>161767708</v>
      </c>
      <c r="J10" s="82" t="s">
        <v>200</v>
      </c>
      <c r="K10" s="82">
        <v>44747.413918900464</v>
      </c>
    </row>
    <row r="11" spans="1:11" ht="30" customHeight="1" x14ac:dyDescent="0.25">
      <c r="A11" s="82" t="s">
        <v>204</v>
      </c>
      <c r="B11" s="82" t="s">
        <v>184</v>
      </c>
      <c r="C11" s="82">
        <v>8</v>
      </c>
      <c r="D11" s="82" t="s">
        <v>142</v>
      </c>
      <c r="E11" s="82" t="s">
        <v>192</v>
      </c>
      <c r="F11" s="82" t="s">
        <v>130</v>
      </c>
      <c r="G11" s="82" t="s">
        <v>21</v>
      </c>
      <c r="H11" s="82" t="s">
        <v>183</v>
      </c>
      <c r="I11" s="82">
        <v>161767708</v>
      </c>
      <c r="J11" s="82" t="s">
        <v>200</v>
      </c>
      <c r="K11" s="82">
        <v>44747.413918900464</v>
      </c>
    </row>
    <row r="12" spans="1:11" ht="30" customHeight="1" x14ac:dyDescent="0.25">
      <c r="A12" s="82" t="s">
        <v>204</v>
      </c>
      <c r="B12" s="82" t="s">
        <v>184</v>
      </c>
      <c r="C12" s="82">
        <v>9</v>
      </c>
      <c r="D12" s="82" t="s">
        <v>142</v>
      </c>
      <c r="E12" s="82" t="s">
        <v>193</v>
      </c>
      <c r="F12" s="82" t="s">
        <v>130</v>
      </c>
      <c r="G12" s="82" t="s">
        <v>21</v>
      </c>
      <c r="H12" s="82" t="s">
        <v>183</v>
      </c>
      <c r="I12" s="82">
        <v>161767708</v>
      </c>
      <c r="J12" s="82" t="s">
        <v>200</v>
      </c>
      <c r="K12" s="82">
        <v>44747.413918900464</v>
      </c>
    </row>
    <row r="13" spans="1:11" ht="30" customHeight="1" x14ac:dyDescent="0.25">
      <c r="A13" s="82" t="s">
        <v>204</v>
      </c>
      <c r="B13" s="82" t="s">
        <v>184</v>
      </c>
      <c r="C13" s="82">
        <v>10</v>
      </c>
      <c r="D13" s="82" t="s">
        <v>142</v>
      </c>
      <c r="E13" s="82" t="s">
        <v>194</v>
      </c>
      <c r="F13" s="82" t="s">
        <v>130</v>
      </c>
      <c r="G13" s="82" t="s">
        <v>21</v>
      </c>
      <c r="H13" s="82" t="s">
        <v>183</v>
      </c>
      <c r="I13" s="82">
        <v>161767708</v>
      </c>
      <c r="J13" s="82" t="s">
        <v>200</v>
      </c>
      <c r="K13" s="82">
        <v>44747.413918900464</v>
      </c>
    </row>
    <row r="14" spans="1:11" ht="30" customHeight="1" x14ac:dyDescent="0.25">
      <c r="A14" s="82" t="s">
        <v>204</v>
      </c>
      <c r="B14" s="82" t="s">
        <v>184</v>
      </c>
      <c r="C14" s="82">
        <v>11</v>
      </c>
      <c r="D14" s="82" t="s">
        <v>142</v>
      </c>
      <c r="E14" s="82" t="s">
        <v>195</v>
      </c>
      <c r="F14" s="82" t="s">
        <v>130</v>
      </c>
      <c r="G14" s="82" t="s">
        <v>21</v>
      </c>
      <c r="H14" s="82" t="s">
        <v>183</v>
      </c>
      <c r="I14" s="82">
        <v>161767708</v>
      </c>
      <c r="J14" s="82" t="s">
        <v>200</v>
      </c>
      <c r="K14" s="82">
        <v>44747.413918900464</v>
      </c>
    </row>
    <row r="15" spans="1:11" ht="19.5" customHeight="1" x14ac:dyDescent="0.25">
      <c r="A15" s="82" t="s">
        <v>204</v>
      </c>
      <c r="B15" s="82" t="s">
        <v>184</v>
      </c>
      <c r="C15" s="82">
        <v>12</v>
      </c>
      <c r="D15" s="82" t="s">
        <v>142</v>
      </c>
      <c r="E15" s="82" t="s">
        <v>196</v>
      </c>
      <c r="F15" s="82" t="s">
        <v>130</v>
      </c>
      <c r="G15" s="82" t="s">
        <v>21</v>
      </c>
      <c r="H15" s="82" t="s">
        <v>183</v>
      </c>
      <c r="I15" s="82">
        <v>161767708</v>
      </c>
      <c r="J15" s="82" t="s">
        <v>200</v>
      </c>
      <c r="K15" s="82">
        <v>44747.413918900464</v>
      </c>
    </row>
    <row r="16" spans="1:11" ht="20.100000000000001" customHeight="1" x14ac:dyDescent="0.25">
      <c r="A16" s="82" t="s">
        <v>204</v>
      </c>
      <c r="B16" s="82" t="s">
        <v>184</v>
      </c>
      <c r="C16" s="82">
        <v>13</v>
      </c>
      <c r="D16" s="82" t="s">
        <v>142</v>
      </c>
      <c r="E16" s="82" t="s">
        <v>197</v>
      </c>
      <c r="F16" s="82" t="s">
        <v>130</v>
      </c>
      <c r="G16" s="82" t="s">
        <v>21</v>
      </c>
      <c r="H16" s="82" t="s">
        <v>183</v>
      </c>
      <c r="I16" s="82">
        <v>161767708</v>
      </c>
      <c r="J16" s="82" t="s">
        <v>200</v>
      </c>
      <c r="K16" s="82">
        <v>44747.413918900464</v>
      </c>
    </row>
    <row r="17" spans="1:11" ht="20.100000000000001" customHeight="1" x14ac:dyDescent="0.3">
      <c r="A17" s="68"/>
      <c r="B17" s="68"/>
      <c r="C17" s="68"/>
      <c r="D17" s="69"/>
      <c r="E17" s="68"/>
      <c r="F17" s="68"/>
      <c r="G17" s="68"/>
      <c r="H17" s="85"/>
      <c r="I17" s="70"/>
      <c r="J17" s="85"/>
      <c r="K17" s="71"/>
    </row>
    <row r="18" spans="1:11" ht="20.100000000000001" customHeight="1" x14ac:dyDescent="0.3">
      <c r="A18" s="68"/>
      <c r="B18" s="68"/>
      <c r="C18" s="68"/>
      <c r="D18" s="69"/>
      <c r="E18" s="68"/>
      <c r="F18" s="68"/>
      <c r="G18" s="68"/>
      <c r="H18" s="85"/>
      <c r="I18" s="70"/>
      <c r="J18" s="85"/>
      <c r="K18" s="71"/>
    </row>
    <row r="19" spans="1:11" ht="20.100000000000001" customHeight="1" x14ac:dyDescent="0.3">
      <c r="A19" s="68"/>
      <c r="B19" s="68"/>
      <c r="C19" s="68"/>
      <c r="D19" s="69"/>
      <c r="E19" s="68"/>
      <c r="F19" s="68"/>
      <c r="G19" s="68"/>
      <c r="H19" s="85"/>
      <c r="I19" s="70"/>
      <c r="J19" s="85"/>
      <c r="K19" s="71"/>
    </row>
    <row r="20" spans="1:11" ht="20.100000000000001" customHeight="1" x14ac:dyDescent="0.3">
      <c r="A20" s="68"/>
      <c r="B20" s="68"/>
      <c r="C20" s="68"/>
      <c r="D20" s="69"/>
      <c r="E20" s="68"/>
      <c r="F20" s="68"/>
      <c r="G20" s="68"/>
      <c r="H20" s="85"/>
      <c r="I20" s="70"/>
      <c r="J20" s="85"/>
      <c r="K20" s="71"/>
    </row>
    <row r="21" spans="1:11" ht="20.100000000000001" customHeight="1" x14ac:dyDescent="0.3">
      <c r="A21" s="68"/>
      <c r="B21" s="68"/>
      <c r="C21" s="68"/>
      <c r="D21" s="69"/>
      <c r="E21" s="68"/>
      <c r="F21" s="68"/>
      <c r="G21" s="68"/>
      <c r="H21" s="85"/>
      <c r="I21" s="70"/>
      <c r="J21" s="85"/>
      <c r="K21" s="71"/>
    </row>
    <row r="22" spans="1:11" ht="20.100000000000001" customHeight="1" x14ac:dyDescent="0.3">
      <c r="A22" s="68"/>
      <c r="B22" s="68"/>
      <c r="C22" s="68"/>
      <c r="D22" s="69"/>
      <c r="E22" s="68"/>
      <c r="F22" s="68"/>
      <c r="G22" s="68"/>
      <c r="H22" s="85"/>
      <c r="I22" s="70"/>
      <c r="J22" s="85"/>
      <c r="K22" s="71"/>
    </row>
    <row r="23" spans="1:11" ht="20.100000000000001" customHeight="1" x14ac:dyDescent="0.3">
      <c r="A23" s="68"/>
      <c r="B23" s="68"/>
      <c r="C23" s="68"/>
      <c r="D23" s="69"/>
      <c r="E23" s="68"/>
      <c r="F23" s="68"/>
      <c r="G23" s="68"/>
      <c r="H23" s="85"/>
      <c r="I23" s="70"/>
      <c r="J23" s="85"/>
      <c r="K23" s="71"/>
    </row>
    <row r="24" spans="1:11" ht="20.100000000000001" customHeight="1" x14ac:dyDescent="0.3">
      <c r="A24" s="68"/>
      <c r="B24" s="68"/>
      <c r="C24" s="68"/>
      <c r="D24" s="69"/>
      <c r="E24" s="68"/>
      <c r="F24" s="68"/>
      <c r="G24" s="68"/>
      <c r="H24" s="85"/>
      <c r="I24" s="70"/>
      <c r="J24" s="85"/>
      <c r="K24" s="71"/>
    </row>
    <row r="25" spans="1:11" ht="20.100000000000001" customHeight="1" x14ac:dyDescent="0.3">
      <c r="A25" s="68"/>
      <c r="B25" s="68"/>
      <c r="C25" s="68"/>
      <c r="D25" s="69"/>
      <c r="E25" s="68"/>
      <c r="F25" s="68"/>
      <c r="G25" s="68"/>
      <c r="H25" s="85"/>
      <c r="I25" s="70"/>
      <c r="J25" s="85"/>
      <c r="K25" s="71"/>
    </row>
    <row r="26" spans="1:11" ht="20.100000000000001" customHeight="1" x14ac:dyDescent="0.3">
      <c r="A26" s="68"/>
      <c r="B26" s="68"/>
      <c r="C26" s="68"/>
      <c r="D26" s="69"/>
      <c r="E26" s="68"/>
      <c r="F26" s="68"/>
      <c r="G26" s="68"/>
      <c r="H26" s="85"/>
      <c r="I26" s="70"/>
      <c r="J26" s="85"/>
      <c r="K26" s="71"/>
    </row>
    <row r="27" spans="1:11" ht="20.100000000000001" customHeight="1" x14ac:dyDescent="0.3">
      <c r="A27" s="68"/>
      <c r="B27" s="68"/>
      <c r="C27" s="68"/>
      <c r="D27" s="69"/>
      <c r="E27" s="68"/>
      <c r="F27" s="68"/>
      <c r="G27" s="68"/>
      <c r="H27" s="85"/>
      <c r="I27" s="70"/>
      <c r="J27" s="85"/>
      <c r="K27" s="71"/>
    </row>
    <row r="28" spans="1:11" ht="20.100000000000001" customHeight="1" x14ac:dyDescent="0.3">
      <c r="A28" s="68"/>
      <c r="B28" s="68"/>
      <c r="C28" s="68"/>
      <c r="D28" s="69"/>
      <c r="E28" s="68"/>
      <c r="F28" s="68"/>
      <c r="G28" s="68"/>
      <c r="H28" s="85"/>
      <c r="I28" s="70"/>
      <c r="J28" s="85"/>
      <c r="K28" s="71"/>
    </row>
    <row r="29" spans="1:11" ht="20.100000000000001" customHeight="1" x14ac:dyDescent="0.3">
      <c r="A29" s="68"/>
      <c r="B29" s="68"/>
      <c r="C29" s="68"/>
      <c r="D29" s="69"/>
      <c r="E29" s="68"/>
      <c r="F29" s="68"/>
      <c r="G29" s="68"/>
      <c r="H29" s="85"/>
      <c r="I29" s="70"/>
      <c r="J29" s="85"/>
      <c r="K29" s="71"/>
    </row>
    <row r="30" spans="1:11" ht="20.100000000000001" customHeight="1" x14ac:dyDescent="0.3">
      <c r="A30" s="68"/>
      <c r="B30" s="68"/>
      <c r="C30" s="68"/>
      <c r="D30" s="69"/>
      <c r="E30" s="68"/>
      <c r="F30" s="68"/>
      <c r="G30" s="68"/>
      <c r="H30" s="85"/>
      <c r="I30" s="70"/>
      <c r="J30" s="85"/>
      <c r="K30" s="71"/>
    </row>
    <row r="31" spans="1:11" ht="20.100000000000001" customHeight="1" x14ac:dyDescent="0.3">
      <c r="A31" s="68"/>
      <c r="B31" s="68"/>
      <c r="C31" s="68"/>
      <c r="D31" s="69"/>
      <c r="E31" s="68"/>
      <c r="F31" s="68"/>
      <c r="G31" s="68"/>
      <c r="H31" s="85"/>
      <c r="I31" s="70"/>
      <c r="J31" s="85"/>
      <c r="K31" s="71"/>
    </row>
    <row r="32" spans="1:11" ht="20.100000000000001" customHeight="1" x14ac:dyDescent="0.3">
      <c r="A32" s="68"/>
      <c r="B32" s="68"/>
      <c r="C32" s="68"/>
      <c r="D32" s="69"/>
      <c r="E32" s="68"/>
      <c r="F32" s="68"/>
      <c r="G32" s="68"/>
      <c r="H32" s="85"/>
      <c r="I32" s="70"/>
      <c r="J32" s="85"/>
      <c r="K32" s="71"/>
    </row>
    <row r="33" spans="1:11" ht="20.100000000000001" customHeight="1" x14ac:dyDescent="0.3">
      <c r="A33" s="68"/>
      <c r="B33" s="68"/>
      <c r="C33" s="68"/>
      <c r="D33" s="69"/>
      <c r="E33" s="68"/>
      <c r="F33" s="68"/>
      <c r="G33" s="68"/>
      <c r="H33" s="85"/>
      <c r="I33" s="70"/>
      <c r="J33" s="85"/>
      <c r="K33" s="71"/>
    </row>
    <row r="34" spans="1:11" ht="20.100000000000001" customHeight="1" x14ac:dyDescent="0.3">
      <c r="A34" s="68"/>
      <c r="B34" s="68"/>
      <c r="C34" s="68"/>
      <c r="D34" s="69"/>
      <c r="E34" s="68"/>
      <c r="F34" s="68"/>
      <c r="G34" s="68"/>
      <c r="H34" s="85"/>
      <c r="I34" s="70"/>
      <c r="J34" s="85"/>
      <c r="K34" s="71"/>
    </row>
    <row r="35" spans="1:11" ht="20.100000000000001" customHeight="1" x14ac:dyDescent="0.3">
      <c r="A35" s="68"/>
      <c r="B35" s="68"/>
      <c r="C35" s="68"/>
      <c r="D35" s="69"/>
      <c r="E35" s="68"/>
      <c r="F35" s="68"/>
      <c r="G35" s="68"/>
      <c r="H35" s="85"/>
      <c r="I35" s="70"/>
      <c r="J35" s="85"/>
      <c r="K35" s="71"/>
    </row>
    <row r="36" spans="1:11" ht="20.100000000000001" customHeight="1" x14ac:dyDescent="0.3">
      <c r="A36" s="68"/>
      <c r="B36" s="68"/>
      <c r="C36" s="68"/>
      <c r="D36" s="69"/>
      <c r="E36" s="68"/>
      <c r="F36" s="68"/>
      <c r="G36" s="68"/>
      <c r="H36" s="85"/>
      <c r="I36" s="70"/>
      <c r="J36" s="85"/>
      <c r="K36" s="71"/>
    </row>
    <row r="37" spans="1:11" ht="20.100000000000001" customHeight="1" x14ac:dyDescent="0.3">
      <c r="A37" s="68"/>
      <c r="B37" s="68"/>
      <c r="C37" s="68"/>
      <c r="D37" s="69"/>
      <c r="E37" s="68"/>
      <c r="F37" s="68"/>
      <c r="G37" s="68"/>
      <c r="H37" s="85"/>
      <c r="I37" s="70"/>
      <c r="J37" s="85"/>
      <c r="K37" s="71"/>
    </row>
    <row r="38" spans="1:11" ht="20.100000000000001" customHeight="1" x14ac:dyDescent="0.3">
      <c r="A38" s="68"/>
      <c r="B38" s="68"/>
      <c r="C38" s="68"/>
      <c r="D38" s="69"/>
      <c r="E38" s="68"/>
      <c r="F38" s="68"/>
      <c r="G38" s="68"/>
      <c r="H38" s="85"/>
      <c r="I38" s="70"/>
      <c r="J38" s="85"/>
      <c r="K38" s="71"/>
    </row>
    <row r="39" spans="1:11" ht="20.100000000000001" customHeight="1" x14ac:dyDescent="0.3">
      <c r="A39" s="68"/>
      <c r="B39" s="68"/>
      <c r="C39" s="68"/>
      <c r="D39" s="69"/>
      <c r="E39" s="68"/>
      <c r="F39" s="68"/>
      <c r="G39" s="68"/>
      <c r="H39" s="85"/>
      <c r="I39" s="70"/>
      <c r="J39" s="85"/>
      <c r="K39" s="71"/>
    </row>
    <row r="40" spans="1:11" ht="20.100000000000001" customHeight="1" x14ac:dyDescent="0.3">
      <c r="A40" s="68"/>
      <c r="B40" s="68"/>
      <c r="C40" s="68"/>
      <c r="D40" s="69"/>
      <c r="E40" s="68"/>
      <c r="F40" s="68"/>
      <c r="G40" s="68"/>
      <c r="H40" s="85"/>
      <c r="I40" s="70"/>
      <c r="J40" s="85"/>
      <c r="K40" s="71"/>
    </row>
    <row r="41" spans="1:11" ht="20.100000000000001" customHeight="1" x14ac:dyDescent="0.3">
      <c r="A41" s="68"/>
      <c r="B41" s="68"/>
      <c r="C41" s="68"/>
      <c r="D41" s="69"/>
      <c r="E41" s="68"/>
      <c r="F41" s="68"/>
      <c r="G41" s="68"/>
      <c r="H41" s="85"/>
      <c r="I41" s="70"/>
      <c r="J41" s="85"/>
      <c r="K41" s="71"/>
    </row>
    <row r="42" spans="1:11" ht="20.100000000000001" customHeight="1" x14ac:dyDescent="0.3">
      <c r="A42" s="68"/>
      <c r="B42" s="68"/>
      <c r="C42" s="68"/>
      <c r="D42" s="69"/>
      <c r="E42" s="68"/>
      <c r="F42" s="68"/>
      <c r="G42" s="68"/>
      <c r="H42" s="85"/>
      <c r="I42" s="70"/>
      <c r="J42" s="85"/>
      <c r="K42" s="71"/>
    </row>
    <row r="43" spans="1:11" ht="20.100000000000001" customHeight="1" x14ac:dyDescent="0.3">
      <c r="A43" s="68"/>
      <c r="B43" s="68"/>
      <c r="C43" s="68"/>
      <c r="D43" s="69"/>
      <c r="E43" s="68"/>
      <c r="F43" s="68"/>
      <c r="G43" s="68"/>
      <c r="H43" s="85"/>
      <c r="I43" s="70"/>
      <c r="J43" s="85"/>
      <c r="K43" s="71"/>
    </row>
    <row r="44" spans="1:11" ht="20.100000000000001" customHeight="1" x14ac:dyDescent="0.3">
      <c r="A44" s="68"/>
      <c r="B44" s="68"/>
      <c r="C44" s="68"/>
      <c r="D44" s="69"/>
      <c r="E44" s="68"/>
      <c r="F44" s="68"/>
      <c r="G44" s="68"/>
      <c r="H44" s="85"/>
      <c r="I44" s="70"/>
      <c r="J44" s="85"/>
      <c r="K44" s="71"/>
    </row>
    <row r="45" spans="1:11" ht="20.100000000000001" customHeight="1" x14ac:dyDescent="0.3">
      <c r="A45" s="68"/>
      <c r="B45" s="68"/>
      <c r="C45" s="68"/>
      <c r="D45" s="69"/>
      <c r="E45" s="68"/>
      <c r="F45" s="68"/>
      <c r="G45" s="68"/>
      <c r="H45" s="85"/>
      <c r="I45" s="70"/>
      <c r="J45" s="85"/>
      <c r="K45" s="71"/>
    </row>
    <row r="46" spans="1:11" ht="20.100000000000001" customHeight="1" x14ac:dyDescent="0.3">
      <c r="A46" s="68"/>
      <c r="B46" s="68"/>
      <c r="C46" s="68"/>
      <c r="D46" s="69"/>
      <c r="E46" s="68"/>
      <c r="F46" s="68"/>
      <c r="G46" s="68"/>
      <c r="H46" s="85"/>
      <c r="I46" s="70"/>
      <c r="J46" s="85"/>
      <c r="K46" s="71"/>
    </row>
    <row r="47" spans="1:11" ht="20.100000000000001" customHeight="1" x14ac:dyDescent="0.3">
      <c r="A47" s="68"/>
      <c r="B47" s="68"/>
      <c r="C47" s="68"/>
      <c r="D47" s="69"/>
      <c r="E47" s="68"/>
      <c r="F47" s="68"/>
      <c r="G47" s="68"/>
      <c r="H47" s="85"/>
      <c r="I47" s="70"/>
      <c r="J47" s="85"/>
      <c r="K47" s="71"/>
    </row>
    <row r="48" spans="1:11" ht="20.100000000000001" customHeight="1" x14ac:dyDescent="0.3">
      <c r="A48" s="68"/>
      <c r="B48" s="68"/>
      <c r="C48" s="68"/>
      <c r="D48" s="69"/>
      <c r="E48" s="68"/>
      <c r="F48" s="68"/>
      <c r="G48" s="68"/>
      <c r="H48" s="85"/>
      <c r="I48" s="70"/>
      <c r="J48" s="85"/>
      <c r="K48" s="71"/>
    </row>
    <row r="49" spans="1:11" ht="20.100000000000001" customHeight="1" x14ac:dyDescent="0.3">
      <c r="A49" s="68"/>
      <c r="B49" s="68"/>
      <c r="C49" s="68"/>
      <c r="D49" s="69"/>
      <c r="E49" s="68"/>
      <c r="F49" s="68"/>
      <c r="G49" s="68"/>
      <c r="H49" s="85"/>
      <c r="I49" s="70"/>
      <c r="J49" s="85"/>
      <c r="K49" s="71"/>
    </row>
    <row r="50" spans="1:11" ht="20.100000000000001" customHeight="1" x14ac:dyDescent="0.3">
      <c r="A50" s="68"/>
      <c r="B50" s="68"/>
      <c r="C50" s="68"/>
      <c r="D50" s="69"/>
      <c r="E50" s="68"/>
      <c r="F50" s="68"/>
      <c r="G50" s="68"/>
      <c r="H50" s="85"/>
      <c r="I50" s="70"/>
      <c r="J50" s="85"/>
      <c r="K50" s="71"/>
    </row>
    <row r="51" spans="1:11" ht="20.100000000000001" customHeight="1" x14ac:dyDescent="0.3">
      <c r="A51" s="68"/>
      <c r="B51" s="68"/>
      <c r="C51" s="68"/>
      <c r="D51" s="69"/>
      <c r="E51" s="68"/>
      <c r="F51" s="68"/>
      <c r="G51" s="68"/>
      <c r="H51" s="85"/>
      <c r="I51" s="70"/>
      <c r="J51" s="85"/>
      <c r="K51" s="71"/>
    </row>
    <row r="52" spans="1:11" ht="20.100000000000001" customHeight="1" x14ac:dyDescent="0.3">
      <c r="A52" s="68"/>
      <c r="B52" s="68"/>
      <c r="C52" s="68"/>
      <c r="D52" s="69"/>
      <c r="E52" s="68"/>
      <c r="F52" s="68"/>
      <c r="G52" s="68"/>
      <c r="H52" s="85"/>
      <c r="I52" s="70"/>
      <c r="J52" s="85"/>
      <c r="K52" s="71"/>
    </row>
    <row r="53" spans="1:11" ht="20.100000000000001" customHeight="1" x14ac:dyDescent="0.3">
      <c r="A53" s="68"/>
      <c r="B53" s="68"/>
      <c r="C53" s="68"/>
      <c r="D53" s="69"/>
      <c r="E53" s="68"/>
      <c r="F53" s="68"/>
      <c r="G53" s="68"/>
      <c r="H53" s="85"/>
      <c r="I53" s="70"/>
      <c r="J53" s="85"/>
      <c r="K53" s="71"/>
    </row>
    <row r="54" spans="1:11" ht="20.100000000000001" customHeight="1" x14ac:dyDescent="0.3">
      <c r="A54" s="68"/>
      <c r="B54" s="68"/>
      <c r="C54" s="68"/>
      <c r="D54" s="69"/>
      <c r="E54" s="68"/>
      <c r="F54" s="68"/>
      <c r="G54" s="68"/>
      <c r="H54" s="85"/>
      <c r="I54" s="70"/>
      <c r="J54" s="85"/>
      <c r="K54" s="71"/>
    </row>
    <row r="55" spans="1:11" ht="20.100000000000001" customHeight="1" x14ac:dyDescent="0.3">
      <c r="A55" s="68"/>
      <c r="B55" s="68"/>
      <c r="C55" s="68"/>
      <c r="D55" s="69"/>
      <c r="E55" s="68"/>
      <c r="F55" s="68"/>
      <c r="G55" s="68"/>
      <c r="H55" s="85"/>
      <c r="I55" s="70"/>
      <c r="J55" s="85"/>
      <c r="K55" s="71"/>
    </row>
    <row r="56" spans="1:11" ht="20.100000000000001" customHeight="1" x14ac:dyDescent="0.3">
      <c r="A56" s="68"/>
      <c r="B56" s="68"/>
      <c r="C56" s="68"/>
      <c r="D56" s="69"/>
      <c r="E56" s="68"/>
      <c r="F56" s="68"/>
      <c r="G56" s="68"/>
      <c r="H56" s="85"/>
      <c r="I56" s="70"/>
      <c r="J56" s="85"/>
      <c r="K56" s="71"/>
    </row>
    <row r="57" spans="1:11" ht="20.100000000000001" customHeight="1" x14ac:dyDescent="0.3">
      <c r="A57" s="68"/>
      <c r="B57" s="68"/>
      <c r="C57" s="68"/>
      <c r="D57" s="69"/>
      <c r="E57" s="68"/>
      <c r="F57" s="68"/>
      <c r="G57" s="68"/>
      <c r="H57" s="85"/>
      <c r="I57" s="70"/>
      <c r="J57" s="85"/>
      <c r="K57" s="71"/>
    </row>
    <row r="58" spans="1:11" ht="20.100000000000001" customHeight="1" x14ac:dyDescent="0.3">
      <c r="A58" s="68"/>
      <c r="B58" s="68"/>
      <c r="C58" s="68"/>
      <c r="D58" s="69"/>
      <c r="E58" s="68"/>
      <c r="F58" s="68"/>
      <c r="G58" s="68"/>
      <c r="H58" s="85"/>
      <c r="I58" s="70"/>
      <c r="J58" s="85"/>
      <c r="K58" s="71"/>
    </row>
    <row r="59" spans="1:11" ht="20.100000000000001" customHeight="1" x14ac:dyDescent="0.3">
      <c r="A59" s="68"/>
      <c r="B59" s="68"/>
      <c r="C59" s="68"/>
      <c r="D59" s="69"/>
      <c r="E59" s="68"/>
      <c r="F59" s="68"/>
      <c r="G59" s="68"/>
      <c r="H59" s="85"/>
      <c r="I59" s="70"/>
      <c r="J59" s="85"/>
      <c r="K59" s="71"/>
    </row>
    <row r="60" spans="1:11" ht="20.100000000000001" customHeight="1" x14ac:dyDescent="0.3">
      <c r="A60" s="68"/>
      <c r="B60" s="68"/>
      <c r="C60" s="68"/>
      <c r="D60" s="69"/>
      <c r="E60" s="68"/>
      <c r="F60" s="68"/>
      <c r="G60" s="68"/>
      <c r="H60" s="85"/>
      <c r="I60" s="70"/>
      <c r="J60" s="85"/>
      <c r="K60" s="71"/>
    </row>
    <row r="61" spans="1:11" ht="20.100000000000001" customHeight="1" x14ac:dyDescent="0.3">
      <c r="A61" s="68"/>
      <c r="B61" s="68"/>
      <c r="C61" s="68"/>
      <c r="D61" s="69"/>
      <c r="E61" s="68"/>
      <c r="F61" s="68"/>
      <c r="G61" s="68"/>
      <c r="H61" s="85"/>
      <c r="I61" s="70"/>
      <c r="J61" s="85"/>
      <c r="K61" s="71"/>
    </row>
    <row r="62" spans="1:11" ht="20.100000000000001" customHeight="1" x14ac:dyDescent="0.3">
      <c r="A62" s="68"/>
      <c r="B62" s="68"/>
      <c r="C62" s="68"/>
      <c r="D62" s="69"/>
      <c r="E62" s="68"/>
      <c r="F62" s="68"/>
      <c r="G62" s="68"/>
      <c r="H62" s="85"/>
      <c r="I62" s="70"/>
      <c r="J62" s="85"/>
      <c r="K62" s="71"/>
    </row>
    <row r="63" spans="1:11" ht="20.100000000000001" customHeight="1" x14ac:dyDescent="0.3">
      <c r="A63" s="68"/>
      <c r="B63" s="68"/>
      <c r="C63" s="68"/>
      <c r="D63" s="69"/>
      <c r="E63" s="68"/>
      <c r="F63" s="68"/>
      <c r="G63" s="68"/>
      <c r="H63" s="85"/>
      <c r="I63" s="70"/>
      <c r="J63" s="85"/>
      <c r="K63" s="71"/>
    </row>
    <row r="64" spans="1:11" ht="20.100000000000001" customHeight="1" x14ac:dyDescent="0.3">
      <c r="A64" s="68"/>
      <c r="B64" s="68"/>
      <c r="C64" s="68"/>
      <c r="D64" s="69"/>
      <c r="E64" s="68"/>
      <c r="F64" s="68"/>
      <c r="G64" s="68"/>
      <c r="H64" s="85"/>
      <c r="I64" s="70"/>
      <c r="J64" s="85"/>
      <c r="K64" s="71"/>
    </row>
    <row r="65" spans="1:11" ht="20.100000000000001" customHeight="1" x14ac:dyDescent="0.3">
      <c r="A65" s="68"/>
      <c r="B65" s="68"/>
      <c r="C65" s="68"/>
      <c r="D65" s="69"/>
      <c r="E65" s="68"/>
      <c r="F65" s="68"/>
      <c r="G65" s="68"/>
      <c r="H65" s="85"/>
      <c r="I65" s="70"/>
      <c r="J65" s="85"/>
      <c r="K65" s="71"/>
    </row>
    <row r="66" spans="1:11" ht="20.100000000000001" customHeight="1" x14ac:dyDescent="0.3">
      <c r="A66" s="68"/>
      <c r="B66" s="68"/>
      <c r="C66" s="68"/>
      <c r="D66" s="69"/>
      <c r="E66" s="68"/>
      <c r="F66" s="68"/>
      <c r="G66" s="68"/>
      <c r="H66" s="85"/>
      <c r="I66" s="70"/>
      <c r="J66" s="85"/>
      <c r="K66" s="71"/>
    </row>
    <row r="67" spans="1:11" ht="20.100000000000001" customHeight="1" x14ac:dyDescent="0.3">
      <c r="A67" s="68"/>
      <c r="B67" s="68"/>
      <c r="C67" s="68"/>
      <c r="D67" s="69"/>
      <c r="E67" s="68"/>
      <c r="F67" s="68"/>
      <c r="G67" s="68"/>
      <c r="H67" s="85"/>
      <c r="I67" s="70"/>
      <c r="J67" s="85"/>
      <c r="K67" s="71"/>
    </row>
    <row r="68" spans="1:11" ht="20.100000000000001" customHeight="1" x14ac:dyDescent="0.3">
      <c r="A68" s="68"/>
      <c r="B68" s="68"/>
      <c r="C68" s="68"/>
      <c r="D68" s="69"/>
      <c r="E68" s="68"/>
      <c r="F68" s="68"/>
      <c r="G68" s="68"/>
      <c r="H68" s="85"/>
      <c r="I68" s="70"/>
      <c r="J68" s="85"/>
      <c r="K68" s="71"/>
    </row>
    <row r="69" spans="1:11" ht="20.100000000000001" customHeight="1" x14ac:dyDescent="0.3">
      <c r="A69" s="68"/>
      <c r="B69" s="68"/>
      <c r="C69" s="68"/>
      <c r="D69" s="69"/>
      <c r="E69" s="68"/>
      <c r="F69" s="68"/>
      <c r="G69" s="68"/>
      <c r="H69" s="85"/>
      <c r="I69" s="70"/>
      <c r="J69" s="85"/>
      <c r="K69" s="71"/>
    </row>
    <row r="70" spans="1:11" ht="20.100000000000001" customHeight="1" x14ac:dyDescent="0.3">
      <c r="A70" s="68"/>
      <c r="B70" s="68"/>
      <c r="C70" s="68"/>
      <c r="D70" s="69"/>
      <c r="E70" s="68"/>
      <c r="F70" s="68"/>
      <c r="G70" s="68"/>
      <c r="H70" s="85"/>
      <c r="I70" s="70"/>
      <c r="J70" s="85"/>
      <c r="K70" s="71"/>
    </row>
    <row r="71" spans="1:11" ht="20.100000000000001" customHeight="1" x14ac:dyDescent="0.3">
      <c r="A71" s="68"/>
      <c r="B71" s="68"/>
      <c r="C71" s="68"/>
      <c r="D71" s="69"/>
      <c r="E71" s="68"/>
      <c r="F71" s="68"/>
      <c r="G71" s="68"/>
      <c r="H71" s="85"/>
      <c r="I71" s="70"/>
      <c r="J71" s="85"/>
      <c r="K71" s="71"/>
    </row>
    <row r="72" spans="1:11" ht="20.100000000000001" customHeight="1" x14ac:dyDescent="0.3">
      <c r="A72" s="68"/>
      <c r="B72" s="68"/>
      <c r="C72" s="68"/>
      <c r="D72" s="69"/>
      <c r="E72" s="68"/>
      <c r="F72" s="68"/>
      <c r="G72" s="68"/>
      <c r="H72" s="85"/>
      <c r="I72" s="70"/>
      <c r="J72" s="85"/>
      <c r="K72" s="71"/>
    </row>
    <row r="73" spans="1:11" ht="20.100000000000001" customHeight="1" x14ac:dyDescent="0.3">
      <c r="A73" s="68"/>
      <c r="B73" s="68"/>
      <c r="C73" s="68"/>
      <c r="D73" s="69"/>
      <c r="E73" s="68"/>
      <c r="F73" s="68"/>
      <c r="G73" s="68"/>
      <c r="H73" s="85"/>
      <c r="I73" s="70"/>
      <c r="J73" s="85"/>
      <c r="K73" s="71"/>
    </row>
    <row r="74" spans="1:11" ht="20.100000000000001" customHeight="1" x14ac:dyDescent="0.3">
      <c r="A74" s="68"/>
      <c r="B74" s="68"/>
      <c r="C74" s="68"/>
      <c r="D74" s="69"/>
      <c r="E74" s="68"/>
      <c r="F74" s="68"/>
      <c r="G74" s="68"/>
      <c r="H74" s="85"/>
      <c r="I74" s="70"/>
      <c r="J74" s="85"/>
      <c r="K74" s="71"/>
    </row>
    <row r="75" spans="1:11" ht="20.100000000000001" customHeight="1" x14ac:dyDescent="0.3">
      <c r="A75" s="68"/>
      <c r="B75" s="68"/>
      <c r="C75" s="68"/>
      <c r="D75" s="69"/>
      <c r="E75" s="68"/>
      <c r="F75" s="68"/>
      <c r="G75" s="68"/>
      <c r="H75" s="85"/>
      <c r="I75" s="70"/>
      <c r="J75" s="85"/>
      <c r="K75" s="71"/>
    </row>
    <row r="76" spans="1:11" ht="20.100000000000001" customHeight="1" x14ac:dyDescent="0.3">
      <c r="A76" s="68"/>
      <c r="B76" s="68"/>
      <c r="C76" s="68"/>
      <c r="D76" s="69"/>
      <c r="E76" s="68"/>
      <c r="F76" s="68"/>
      <c r="G76" s="68"/>
      <c r="H76" s="85"/>
      <c r="I76" s="70"/>
      <c r="J76" s="85"/>
      <c r="K76" s="71"/>
    </row>
    <row r="77" spans="1:11" ht="20.100000000000001" customHeight="1" x14ac:dyDescent="0.3">
      <c r="A77" s="68"/>
      <c r="B77" s="68"/>
      <c r="C77" s="68"/>
      <c r="D77" s="69"/>
      <c r="E77" s="68"/>
      <c r="F77" s="68"/>
      <c r="G77" s="68"/>
      <c r="H77" s="85"/>
      <c r="I77" s="70"/>
      <c r="J77" s="85"/>
      <c r="K77" s="71"/>
    </row>
    <row r="78" spans="1:11" ht="20.100000000000001" customHeight="1" x14ac:dyDescent="0.3">
      <c r="A78" s="68"/>
      <c r="B78" s="68"/>
      <c r="C78" s="68"/>
      <c r="D78" s="69"/>
      <c r="E78" s="68"/>
      <c r="F78" s="68"/>
      <c r="G78" s="68"/>
      <c r="H78" s="85"/>
      <c r="I78" s="70"/>
      <c r="J78" s="85"/>
      <c r="K78" s="71"/>
    </row>
    <row r="79" spans="1:11" ht="20.100000000000001" customHeight="1" x14ac:dyDescent="0.3">
      <c r="A79" s="68"/>
      <c r="B79" s="68"/>
      <c r="C79" s="68"/>
      <c r="D79" s="69"/>
      <c r="E79" s="68"/>
      <c r="F79" s="68"/>
      <c r="G79" s="68"/>
      <c r="H79" s="85"/>
      <c r="I79" s="70"/>
      <c r="J79" s="85"/>
      <c r="K79" s="71"/>
    </row>
    <row r="80" spans="1:11" ht="20.100000000000001" customHeight="1" x14ac:dyDescent="0.3">
      <c r="A80" s="68"/>
      <c r="B80" s="68"/>
      <c r="C80" s="68"/>
      <c r="D80" s="69"/>
      <c r="E80" s="68"/>
      <c r="F80" s="68"/>
      <c r="G80" s="68"/>
      <c r="H80" s="85"/>
      <c r="I80" s="70"/>
      <c r="J80" s="85"/>
      <c r="K80" s="71"/>
    </row>
    <row r="81" spans="1:11" ht="20.100000000000001" customHeight="1" x14ac:dyDescent="0.3">
      <c r="A81" s="68"/>
      <c r="B81" s="68"/>
      <c r="C81" s="68"/>
      <c r="D81" s="69"/>
      <c r="E81" s="68"/>
      <c r="F81" s="68"/>
      <c r="G81" s="68"/>
      <c r="H81" s="85"/>
      <c r="I81" s="70"/>
      <c r="J81" s="85"/>
      <c r="K81" s="71"/>
    </row>
    <row r="82" spans="1:11" ht="20.100000000000001" customHeight="1" x14ac:dyDescent="0.3">
      <c r="A82" s="68"/>
      <c r="B82" s="68"/>
      <c r="C82" s="68"/>
      <c r="D82" s="69"/>
      <c r="E82" s="68"/>
      <c r="F82" s="68"/>
      <c r="G82" s="68"/>
      <c r="H82" s="85"/>
      <c r="I82" s="70"/>
      <c r="J82" s="85"/>
      <c r="K82" s="71"/>
    </row>
    <row r="83" spans="1:11" ht="20.100000000000001" customHeight="1" x14ac:dyDescent="0.3">
      <c r="A83" s="68"/>
      <c r="B83" s="68"/>
      <c r="C83" s="68"/>
      <c r="D83" s="69"/>
      <c r="E83" s="68"/>
      <c r="F83" s="68"/>
      <c r="G83" s="68"/>
      <c r="H83" s="85"/>
      <c r="I83" s="70"/>
      <c r="J83" s="85"/>
      <c r="K83" s="71"/>
    </row>
    <row r="84" spans="1:11" ht="20.100000000000001" customHeight="1" x14ac:dyDescent="0.3">
      <c r="A84" s="68"/>
      <c r="B84" s="68"/>
      <c r="C84" s="68"/>
      <c r="D84" s="69"/>
      <c r="E84" s="68"/>
      <c r="F84" s="68"/>
      <c r="G84" s="68"/>
      <c r="H84" s="85"/>
      <c r="I84" s="70"/>
      <c r="J84" s="85"/>
      <c r="K84" s="71"/>
    </row>
    <row r="85" spans="1:11" ht="20.100000000000001" customHeight="1" x14ac:dyDescent="0.3">
      <c r="A85" s="68"/>
      <c r="B85" s="68"/>
      <c r="C85" s="68"/>
      <c r="D85" s="69"/>
      <c r="E85" s="68"/>
      <c r="F85" s="68"/>
      <c r="G85" s="68"/>
      <c r="H85" s="85"/>
      <c r="I85" s="70"/>
      <c r="J85" s="85"/>
      <c r="K85" s="71"/>
    </row>
    <row r="86" spans="1:11" ht="20.100000000000001" customHeight="1" x14ac:dyDescent="0.3">
      <c r="A86" s="68"/>
      <c r="B86" s="68"/>
      <c r="C86" s="68"/>
      <c r="D86" s="69"/>
      <c r="E86" s="68"/>
      <c r="F86" s="68"/>
      <c r="G86" s="68"/>
      <c r="H86" s="85"/>
      <c r="I86" s="70"/>
      <c r="J86" s="85"/>
      <c r="K86" s="71"/>
    </row>
    <row r="87" spans="1:11" ht="20.100000000000001" customHeight="1" x14ac:dyDescent="0.3">
      <c r="A87" s="68"/>
      <c r="B87" s="68"/>
      <c r="C87" s="68"/>
      <c r="D87" s="69"/>
      <c r="E87" s="68"/>
      <c r="F87" s="68"/>
      <c r="G87" s="68"/>
      <c r="H87" s="85"/>
      <c r="I87" s="70"/>
      <c r="J87" s="85"/>
      <c r="K87" s="71"/>
    </row>
    <row r="88" spans="1:11" ht="20.100000000000001" customHeight="1" x14ac:dyDescent="0.3">
      <c r="A88" s="68"/>
      <c r="B88" s="68"/>
      <c r="C88" s="68"/>
      <c r="D88" s="69"/>
      <c r="E88" s="68"/>
      <c r="F88" s="68"/>
      <c r="G88" s="68"/>
      <c r="H88" s="85"/>
      <c r="I88" s="70"/>
      <c r="J88" s="85"/>
      <c r="K88" s="71"/>
    </row>
    <row r="89" spans="1:11" ht="20.100000000000001" customHeight="1" x14ac:dyDescent="0.3">
      <c r="A89" s="68"/>
      <c r="B89" s="68"/>
      <c r="C89" s="68"/>
      <c r="D89" s="69"/>
      <c r="E89" s="68"/>
      <c r="F89" s="68"/>
      <c r="G89" s="68"/>
      <c r="H89" s="85"/>
      <c r="I89" s="70"/>
      <c r="J89" s="85"/>
      <c r="K89" s="71"/>
    </row>
    <row r="90" spans="1:11" ht="20.100000000000001" customHeight="1" x14ac:dyDescent="0.3">
      <c r="A90" s="68"/>
      <c r="B90" s="68"/>
      <c r="C90" s="68"/>
      <c r="D90" s="69"/>
      <c r="E90" s="68"/>
      <c r="F90" s="68"/>
      <c r="G90" s="68"/>
      <c r="H90" s="85"/>
      <c r="I90" s="70"/>
      <c r="J90" s="85"/>
      <c r="K90" s="71"/>
    </row>
    <row r="91" spans="1:11" ht="20.100000000000001" customHeight="1" x14ac:dyDescent="0.3">
      <c r="A91" s="68"/>
      <c r="B91" s="68"/>
      <c r="C91" s="68"/>
      <c r="D91" s="69"/>
      <c r="E91" s="68"/>
      <c r="F91" s="68"/>
      <c r="G91" s="68"/>
      <c r="H91" s="85"/>
      <c r="I91" s="70"/>
      <c r="J91" s="85"/>
      <c r="K91" s="71"/>
    </row>
    <row r="92" spans="1:11" ht="20.100000000000001" customHeight="1" x14ac:dyDescent="0.3">
      <c r="A92" s="68"/>
      <c r="B92" s="68"/>
      <c r="C92" s="68"/>
      <c r="D92" s="69"/>
      <c r="E92" s="68"/>
      <c r="F92" s="68"/>
      <c r="G92" s="68"/>
      <c r="H92" s="85"/>
      <c r="I92" s="70"/>
      <c r="J92" s="85"/>
      <c r="K92" s="71"/>
    </row>
    <row r="93" spans="1:11" ht="20.100000000000001" customHeight="1" x14ac:dyDescent="0.3">
      <c r="A93" s="68"/>
      <c r="B93" s="68"/>
      <c r="C93" s="68"/>
      <c r="D93" s="69"/>
      <c r="E93" s="68"/>
      <c r="F93" s="68"/>
      <c r="G93" s="68"/>
      <c r="H93" s="85"/>
      <c r="I93" s="70"/>
      <c r="J93" s="85"/>
      <c r="K93" s="71"/>
    </row>
    <row r="94" spans="1:11" ht="20.100000000000001" customHeight="1" x14ac:dyDescent="0.3">
      <c r="A94" s="68"/>
      <c r="B94" s="68"/>
      <c r="C94" s="68"/>
      <c r="D94" s="69"/>
      <c r="E94" s="68"/>
      <c r="F94" s="68"/>
      <c r="G94" s="68"/>
      <c r="H94" s="85"/>
      <c r="I94" s="70"/>
      <c r="J94" s="85"/>
      <c r="K94" s="71"/>
    </row>
    <row r="95" spans="1:11" ht="20.100000000000001" customHeight="1" x14ac:dyDescent="0.3">
      <c r="A95" s="68"/>
      <c r="B95" s="68"/>
      <c r="C95" s="68"/>
      <c r="D95" s="69"/>
      <c r="E95" s="68"/>
      <c r="F95" s="68"/>
      <c r="G95" s="68"/>
      <c r="H95" s="85"/>
      <c r="I95" s="70"/>
      <c r="J95" s="85"/>
      <c r="K95" s="71"/>
    </row>
    <row r="96" spans="1:11" ht="20.100000000000001" customHeight="1" x14ac:dyDescent="0.3">
      <c r="A96" s="68"/>
      <c r="B96" s="68"/>
      <c r="C96" s="68"/>
      <c r="D96" s="69"/>
      <c r="E96" s="68"/>
      <c r="F96" s="68"/>
      <c r="G96" s="68"/>
      <c r="H96" s="85"/>
      <c r="I96" s="70"/>
      <c r="J96" s="85"/>
      <c r="K96" s="71"/>
    </row>
    <row r="97" spans="1:11" ht="20.100000000000001" customHeight="1" x14ac:dyDescent="0.3">
      <c r="A97" s="68"/>
      <c r="B97" s="68"/>
      <c r="C97" s="68"/>
      <c r="D97" s="69"/>
      <c r="E97" s="68"/>
      <c r="F97" s="68"/>
      <c r="G97" s="68"/>
      <c r="H97" s="85"/>
      <c r="I97" s="70"/>
      <c r="J97" s="85"/>
      <c r="K97" s="71"/>
    </row>
    <row r="98" spans="1:11" ht="20.100000000000001" customHeight="1" x14ac:dyDescent="0.3">
      <c r="A98" s="68"/>
      <c r="B98" s="68"/>
      <c r="C98" s="68"/>
      <c r="D98" s="69"/>
      <c r="E98" s="68"/>
      <c r="F98" s="68"/>
      <c r="G98" s="68"/>
      <c r="H98" s="85"/>
      <c r="I98" s="70"/>
      <c r="J98" s="85"/>
      <c r="K98" s="71"/>
    </row>
    <row r="99" spans="1:11" ht="20.100000000000001" customHeight="1" x14ac:dyDescent="0.3">
      <c r="A99" s="68"/>
      <c r="B99" s="68"/>
      <c r="C99" s="68"/>
      <c r="D99" s="69"/>
      <c r="E99" s="68"/>
      <c r="F99" s="68"/>
      <c r="G99" s="68"/>
      <c r="H99" s="85"/>
      <c r="I99" s="70"/>
      <c r="J99" s="85"/>
      <c r="K99" s="71"/>
    </row>
    <row r="100" spans="1:11" ht="20.100000000000001" customHeight="1" x14ac:dyDescent="0.3">
      <c r="A100" s="68"/>
      <c r="B100" s="68"/>
      <c r="C100" s="68"/>
      <c r="D100" s="69"/>
      <c r="E100" s="68"/>
      <c r="F100" s="68"/>
      <c r="G100" s="68"/>
      <c r="H100" s="85"/>
      <c r="I100" s="70"/>
      <c r="J100" s="85"/>
      <c r="K100" s="71"/>
    </row>
    <row r="101" spans="1:11" ht="20.100000000000001" customHeight="1" x14ac:dyDescent="0.3">
      <c r="A101" s="68"/>
      <c r="B101" s="68"/>
      <c r="C101" s="68"/>
      <c r="D101" s="69"/>
      <c r="E101" s="68"/>
      <c r="F101" s="68"/>
      <c r="G101" s="68"/>
      <c r="H101" s="85"/>
      <c r="I101" s="70"/>
      <c r="J101" s="85"/>
      <c r="K101" s="71"/>
    </row>
    <row r="102" spans="1:11" ht="20.100000000000001" customHeight="1" x14ac:dyDescent="0.3">
      <c r="A102" s="68"/>
      <c r="B102" s="68"/>
      <c r="C102" s="68"/>
      <c r="D102" s="69"/>
      <c r="E102" s="68"/>
      <c r="F102" s="68"/>
      <c r="G102" s="68"/>
      <c r="H102" s="85"/>
      <c r="I102" s="70"/>
      <c r="J102" s="85"/>
      <c r="K102" s="71"/>
    </row>
    <row r="103" spans="1:11" ht="20.100000000000001" customHeight="1" x14ac:dyDescent="0.3">
      <c r="A103" s="68"/>
      <c r="B103" s="68"/>
      <c r="C103" s="68"/>
      <c r="D103" s="69"/>
      <c r="E103" s="68"/>
      <c r="F103" s="68"/>
      <c r="G103" s="68"/>
      <c r="H103" s="85"/>
      <c r="I103" s="70"/>
      <c r="J103" s="85"/>
      <c r="K103" s="71"/>
    </row>
    <row r="104" spans="1:11" ht="20.100000000000001" customHeight="1" x14ac:dyDescent="0.3">
      <c r="A104" s="68"/>
      <c r="B104" s="68"/>
      <c r="C104" s="68"/>
      <c r="D104" s="69"/>
      <c r="E104" s="68"/>
      <c r="F104" s="68"/>
      <c r="G104" s="68"/>
      <c r="H104" s="85"/>
      <c r="I104" s="70"/>
      <c r="J104" s="85"/>
      <c r="K104" s="71"/>
    </row>
    <row r="105" spans="1:11" ht="20.100000000000001" customHeight="1" x14ac:dyDescent="0.3">
      <c r="A105" s="68"/>
      <c r="B105" s="68"/>
      <c r="C105" s="68"/>
      <c r="D105" s="69"/>
      <c r="E105" s="68"/>
      <c r="F105" s="68"/>
      <c r="G105" s="68"/>
      <c r="H105" s="85"/>
      <c r="I105" s="70"/>
      <c r="J105" s="85"/>
      <c r="K105" s="71"/>
    </row>
    <row r="106" spans="1:11" ht="20.100000000000001" customHeight="1" x14ac:dyDescent="0.3">
      <c r="A106" s="68"/>
      <c r="B106" s="68"/>
      <c r="C106" s="68"/>
      <c r="D106" s="69"/>
      <c r="E106" s="68"/>
      <c r="F106" s="68"/>
      <c r="G106" s="68"/>
      <c r="H106" s="85"/>
      <c r="I106" s="70"/>
      <c r="J106" s="85"/>
      <c r="K106" s="71"/>
    </row>
    <row r="107" spans="1:11" ht="20.100000000000001" customHeight="1" x14ac:dyDescent="0.3">
      <c r="A107" s="68"/>
      <c r="B107" s="68"/>
      <c r="C107" s="68"/>
      <c r="D107" s="69"/>
      <c r="E107" s="68"/>
      <c r="F107" s="68"/>
      <c r="G107" s="68"/>
      <c r="H107" s="85"/>
      <c r="I107" s="70"/>
      <c r="J107" s="85"/>
      <c r="K107" s="71"/>
    </row>
    <row r="108" spans="1:11" ht="20.100000000000001" customHeight="1" x14ac:dyDescent="0.3">
      <c r="A108" s="68"/>
      <c r="B108" s="68"/>
      <c r="C108" s="68"/>
      <c r="D108" s="69"/>
      <c r="E108" s="68"/>
      <c r="F108" s="68"/>
      <c r="G108" s="68"/>
      <c r="H108" s="85"/>
      <c r="I108" s="70"/>
      <c r="J108" s="85"/>
      <c r="K108" s="71"/>
    </row>
    <row r="109" spans="1:11" ht="20.100000000000001" customHeight="1" x14ac:dyDescent="0.3">
      <c r="A109" s="68"/>
      <c r="B109" s="68"/>
      <c r="C109" s="68"/>
      <c r="D109" s="69"/>
      <c r="E109" s="68"/>
      <c r="F109" s="68"/>
      <c r="G109" s="68"/>
      <c r="H109" s="85"/>
      <c r="I109" s="70"/>
      <c r="J109" s="85"/>
      <c r="K109" s="71"/>
    </row>
    <row r="110" spans="1:11" ht="20.100000000000001" customHeight="1" x14ac:dyDescent="0.3">
      <c r="A110" s="68"/>
      <c r="B110" s="68"/>
      <c r="C110" s="68"/>
      <c r="D110" s="69"/>
      <c r="E110" s="68"/>
      <c r="F110" s="68"/>
      <c r="G110" s="68"/>
      <c r="H110" s="85"/>
      <c r="I110" s="70"/>
      <c r="J110" s="85"/>
      <c r="K110" s="71"/>
    </row>
    <row r="111" spans="1:11" ht="20.100000000000001" customHeight="1" x14ac:dyDescent="0.3">
      <c r="A111" s="68"/>
      <c r="B111" s="68"/>
      <c r="C111" s="68"/>
      <c r="D111" s="69"/>
      <c r="E111" s="68"/>
      <c r="F111" s="68"/>
      <c r="G111" s="68"/>
      <c r="H111" s="85"/>
      <c r="I111" s="70"/>
      <c r="J111" s="85"/>
      <c r="K111" s="71"/>
    </row>
    <row r="112" spans="1:11" ht="20.100000000000001" customHeight="1" x14ac:dyDescent="0.3">
      <c r="A112" s="68"/>
      <c r="B112" s="68"/>
      <c r="C112" s="68"/>
      <c r="D112" s="69"/>
      <c r="E112" s="68"/>
      <c r="F112" s="68"/>
      <c r="G112" s="68"/>
      <c r="H112" s="85"/>
      <c r="I112" s="70"/>
      <c r="J112" s="85"/>
      <c r="K112" s="71"/>
    </row>
    <row r="113" spans="1:11" ht="20.100000000000001" customHeight="1" x14ac:dyDescent="0.3">
      <c r="A113" s="68"/>
      <c r="B113" s="68"/>
      <c r="C113" s="68"/>
      <c r="D113" s="69"/>
      <c r="E113" s="68"/>
      <c r="F113" s="68"/>
      <c r="G113" s="68"/>
      <c r="H113" s="85"/>
      <c r="I113" s="70"/>
      <c r="J113" s="85"/>
      <c r="K113" s="71"/>
    </row>
    <row r="114" spans="1:11" ht="20.100000000000001" customHeight="1" x14ac:dyDescent="0.3">
      <c r="A114" s="68"/>
      <c r="B114" s="68"/>
      <c r="C114" s="68"/>
      <c r="D114" s="69"/>
      <c r="E114" s="68"/>
      <c r="F114" s="68"/>
      <c r="G114" s="68"/>
      <c r="H114" s="85"/>
      <c r="I114" s="70"/>
      <c r="J114" s="85"/>
      <c r="K114" s="71"/>
    </row>
    <row r="115" spans="1:11" ht="20.100000000000001" customHeight="1" x14ac:dyDescent="0.3">
      <c r="A115" s="68"/>
      <c r="B115" s="68"/>
      <c r="C115" s="68"/>
      <c r="D115" s="69"/>
      <c r="E115" s="68"/>
      <c r="F115" s="68"/>
      <c r="G115" s="68"/>
      <c r="H115" s="85"/>
      <c r="I115" s="70"/>
      <c r="J115" s="85"/>
      <c r="K115" s="71"/>
    </row>
    <row r="116" spans="1:11" ht="20.100000000000001" customHeight="1" x14ac:dyDescent="0.3">
      <c r="A116" s="68"/>
      <c r="B116" s="68"/>
      <c r="C116" s="68"/>
      <c r="D116" s="69"/>
      <c r="E116" s="68"/>
      <c r="F116" s="68"/>
      <c r="G116" s="68"/>
      <c r="H116" s="85"/>
      <c r="I116" s="70"/>
      <c r="J116" s="85"/>
      <c r="K116" s="71"/>
    </row>
    <row r="117" spans="1:11" ht="20.100000000000001" customHeight="1" x14ac:dyDescent="0.3">
      <c r="A117" s="68"/>
      <c r="B117" s="68"/>
      <c r="C117" s="68"/>
      <c r="D117" s="69"/>
      <c r="E117" s="68"/>
      <c r="F117" s="68"/>
      <c r="G117" s="68"/>
      <c r="H117" s="85"/>
      <c r="I117" s="70"/>
      <c r="J117" s="85"/>
      <c r="K117" s="71"/>
    </row>
    <row r="118" spans="1:11" ht="20.100000000000001" customHeight="1" x14ac:dyDescent="0.3">
      <c r="A118" s="68"/>
      <c r="B118" s="68"/>
      <c r="C118" s="68"/>
      <c r="D118" s="69"/>
      <c r="E118" s="68"/>
      <c r="F118" s="68"/>
      <c r="G118" s="68"/>
      <c r="H118" s="85"/>
      <c r="I118" s="70"/>
      <c r="J118" s="85"/>
      <c r="K118" s="71"/>
    </row>
    <row r="119" spans="1:11" ht="20.100000000000001" customHeight="1" x14ac:dyDescent="0.3">
      <c r="A119" s="68"/>
      <c r="B119" s="68"/>
      <c r="C119" s="68"/>
      <c r="D119" s="69"/>
      <c r="E119" s="68"/>
      <c r="F119" s="68"/>
      <c r="G119" s="68"/>
      <c r="H119" s="85"/>
      <c r="I119" s="70"/>
      <c r="J119" s="85"/>
      <c r="K119" s="71"/>
    </row>
    <row r="120" spans="1:11" ht="20.100000000000001" customHeight="1" x14ac:dyDescent="0.3">
      <c r="A120" s="68"/>
      <c r="B120" s="68"/>
      <c r="C120" s="68"/>
      <c r="D120" s="69"/>
      <c r="E120" s="68"/>
      <c r="F120" s="68"/>
      <c r="G120" s="68"/>
      <c r="H120" s="85"/>
      <c r="I120" s="70"/>
      <c r="J120" s="85"/>
      <c r="K120" s="71"/>
    </row>
    <row r="121" spans="1:11" ht="20.100000000000001" customHeight="1" x14ac:dyDescent="0.3">
      <c r="A121" s="68"/>
      <c r="B121" s="68"/>
      <c r="C121" s="68"/>
      <c r="D121" s="69"/>
      <c r="E121" s="68"/>
      <c r="F121" s="68"/>
      <c r="G121" s="68"/>
      <c r="H121" s="85"/>
      <c r="I121" s="70"/>
      <c r="J121" s="85"/>
      <c r="K121" s="71"/>
    </row>
    <row r="122" spans="1:11" ht="20.100000000000001" customHeight="1" x14ac:dyDescent="0.3">
      <c r="A122" s="68"/>
      <c r="B122" s="68"/>
      <c r="C122" s="68"/>
      <c r="D122" s="69"/>
      <c r="E122" s="68"/>
      <c r="F122" s="68"/>
      <c r="G122" s="68"/>
      <c r="H122" s="85"/>
      <c r="I122" s="70"/>
      <c r="J122" s="85"/>
      <c r="K122" s="71"/>
    </row>
    <row r="123" spans="1:11" ht="20.100000000000001" customHeight="1" x14ac:dyDescent="0.3">
      <c r="A123" s="68"/>
      <c r="B123" s="68"/>
      <c r="C123" s="68"/>
      <c r="D123" s="69"/>
      <c r="E123" s="68"/>
      <c r="F123" s="68"/>
      <c r="G123" s="68"/>
      <c r="H123" s="85"/>
      <c r="I123" s="70"/>
      <c r="J123" s="85"/>
      <c r="K123" s="71"/>
    </row>
    <row r="124" spans="1:11" ht="20.100000000000001" customHeight="1" x14ac:dyDescent="0.3">
      <c r="A124" s="68"/>
      <c r="B124" s="68"/>
      <c r="C124" s="68"/>
      <c r="D124" s="69"/>
      <c r="E124" s="68"/>
      <c r="F124" s="68"/>
      <c r="G124" s="68"/>
      <c r="H124" s="85"/>
      <c r="I124" s="70"/>
      <c r="J124" s="85"/>
      <c r="K124" s="71"/>
    </row>
    <row r="125" spans="1:11" ht="20.100000000000001" customHeight="1" x14ac:dyDescent="0.3">
      <c r="A125" s="68"/>
      <c r="B125" s="68"/>
      <c r="C125" s="68"/>
      <c r="D125" s="69"/>
      <c r="E125" s="68"/>
      <c r="F125" s="68"/>
      <c r="G125" s="68"/>
      <c r="H125" s="85"/>
      <c r="I125" s="70"/>
      <c r="J125" s="85"/>
      <c r="K125" s="71"/>
    </row>
    <row r="126" spans="1:11" ht="20.100000000000001" customHeight="1" x14ac:dyDescent="0.3">
      <c r="A126" s="68"/>
      <c r="B126" s="68"/>
      <c r="C126" s="68"/>
      <c r="D126" s="69"/>
      <c r="E126" s="68"/>
      <c r="F126" s="68"/>
      <c r="G126" s="68"/>
      <c r="H126" s="85"/>
      <c r="I126" s="70"/>
      <c r="J126" s="85"/>
      <c r="K126" s="71"/>
    </row>
    <row r="127" spans="1:11" ht="20.100000000000001" customHeight="1" x14ac:dyDescent="0.3">
      <c r="A127" s="68"/>
      <c r="B127" s="68"/>
      <c r="C127" s="68"/>
      <c r="D127" s="69"/>
      <c r="E127" s="68"/>
      <c r="F127" s="68"/>
      <c r="G127" s="68"/>
      <c r="H127" s="85"/>
      <c r="I127" s="70"/>
      <c r="J127" s="85"/>
      <c r="K127" s="71"/>
    </row>
    <row r="128" spans="1:11" ht="20.100000000000001" customHeight="1" x14ac:dyDescent="0.3">
      <c r="A128" s="68"/>
      <c r="B128" s="68"/>
      <c r="C128" s="68"/>
      <c r="D128" s="69"/>
      <c r="E128" s="68"/>
      <c r="F128" s="68"/>
      <c r="G128" s="68"/>
      <c r="H128" s="85"/>
      <c r="I128" s="70"/>
      <c r="J128" s="85"/>
      <c r="K128" s="71"/>
    </row>
    <row r="129" spans="1:11" ht="20.100000000000001" customHeight="1" x14ac:dyDescent="0.3">
      <c r="A129" s="68"/>
      <c r="B129" s="68"/>
      <c r="C129" s="68"/>
      <c r="D129" s="69"/>
      <c r="E129" s="68"/>
      <c r="F129" s="68"/>
      <c r="G129" s="68"/>
      <c r="H129" s="85"/>
      <c r="I129" s="70"/>
      <c r="J129" s="85"/>
      <c r="K129" s="71"/>
    </row>
    <row r="130" spans="1:11" ht="20.100000000000001" customHeight="1" x14ac:dyDescent="0.3">
      <c r="A130" s="68"/>
      <c r="B130" s="68"/>
      <c r="C130" s="68"/>
      <c r="D130" s="69"/>
      <c r="E130" s="68"/>
      <c r="F130" s="68"/>
      <c r="G130" s="68"/>
      <c r="H130" s="85"/>
      <c r="I130" s="70"/>
      <c r="J130" s="85"/>
      <c r="K130" s="71"/>
    </row>
    <row r="131" spans="1:11" ht="20.100000000000001" customHeight="1" x14ac:dyDescent="0.3">
      <c r="A131" s="68"/>
      <c r="B131" s="68"/>
      <c r="C131" s="68"/>
      <c r="D131" s="69"/>
      <c r="E131" s="68"/>
      <c r="F131" s="68"/>
      <c r="G131" s="68"/>
      <c r="H131" s="85"/>
      <c r="I131" s="70"/>
      <c r="J131" s="85"/>
      <c r="K131" s="71"/>
    </row>
    <row r="132" spans="1:11" ht="20.100000000000001" customHeight="1" x14ac:dyDescent="0.25">
      <c r="A132" s="64"/>
      <c r="B132" s="64"/>
      <c r="C132" s="64"/>
      <c r="D132" s="65"/>
      <c r="E132" s="64"/>
      <c r="F132" s="64"/>
      <c r="G132" s="64"/>
      <c r="H132" s="86"/>
      <c r="I132" s="64"/>
      <c r="J132" s="86"/>
      <c r="K132" s="66"/>
    </row>
    <row r="133" spans="1:11" ht="20.100000000000001" customHeight="1" x14ac:dyDescent="0.25">
      <c r="A133" s="64"/>
      <c r="B133" s="64"/>
      <c r="C133" s="64"/>
      <c r="D133" s="65"/>
      <c r="E133" s="64"/>
      <c r="F133" s="64"/>
      <c r="G133" s="64"/>
      <c r="H133" s="86"/>
      <c r="I133" s="64"/>
      <c r="J133" s="86"/>
      <c r="K133" s="66"/>
    </row>
    <row r="134" spans="1:11" ht="20.100000000000001" customHeight="1" x14ac:dyDescent="0.25">
      <c r="A134" s="64"/>
      <c r="B134" s="64"/>
      <c r="C134" s="64"/>
      <c r="D134" s="65"/>
      <c r="E134" s="64"/>
      <c r="F134" s="64"/>
      <c r="G134" s="64"/>
      <c r="H134" s="86"/>
      <c r="I134" s="64"/>
      <c r="J134" s="86"/>
      <c r="K134" s="66"/>
    </row>
    <row r="135" spans="1:11" ht="20.100000000000001" customHeight="1" x14ac:dyDescent="0.25">
      <c r="A135" s="64"/>
      <c r="B135" s="64"/>
      <c r="C135" s="64"/>
      <c r="D135" s="65"/>
      <c r="E135" s="64"/>
      <c r="F135" s="64"/>
      <c r="G135" s="64"/>
      <c r="H135" s="86"/>
      <c r="I135" s="64"/>
      <c r="J135" s="86"/>
      <c r="K135" s="66"/>
    </row>
    <row r="136" spans="1:11" ht="20.100000000000001" customHeight="1" x14ac:dyDescent="0.25">
      <c r="A136" s="64"/>
      <c r="B136" s="64"/>
      <c r="C136" s="64"/>
      <c r="D136" s="65"/>
      <c r="E136" s="64"/>
      <c r="F136" s="64"/>
      <c r="G136" s="64"/>
      <c r="H136" s="86"/>
      <c r="I136" s="64"/>
      <c r="J136" s="86"/>
      <c r="K136" s="66"/>
    </row>
    <row r="137" spans="1:11" ht="20.100000000000001" customHeight="1" x14ac:dyDescent="0.25">
      <c r="A137" s="64"/>
      <c r="B137" s="64"/>
      <c r="C137" s="64"/>
      <c r="D137" s="65"/>
      <c r="E137" s="64"/>
      <c r="F137" s="64"/>
      <c r="G137" s="64"/>
      <c r="H137" s="86"/>
      <c r="I137" s="64"/>
      <c r="J137" s="86"/>
      <c r="K137" s="66"/>
    </row>
    <row r="138" spans="1:11" ht="20.100000000000001" customHeight="1" x14ac:dyDescent="0.25">
      <c r="A138" s="64"/>
      <c r="B138" s="64"/>
      <c r="C138" s="64"/>
      <c r="D138" s="65"/>
      <c r="E138" s="64"/>
      <c r="F138" s="64"/>
      <c r="G138" s="64"/>
      <c r="H138" s="86"/>
      <c r="I138" s="64"/>
      <c r="J138" s="86"/>
      <c r="K138" s="66"/>
    </row>
    <row r="139" spans="1:11" ht="20.100000000000001" customHeight="1" x14ac:dyDescent="0.25">
      <c r="A139" s="64"/>
      <c r="B139" s="64"/>
      <c r="C139" s="64"/>
      <c r="D139" s="65"/>
      <c r="E139" s="64"/>
      <c r="F139" s="64"/>
      <c r="G139" s="64"/>
      <c r="H139" s="86"/>
      <c r="I139" s="64"/>
      <c r="J139" s="86"/>
      <c r="K139" s="66"/>
    </row>
    <row r="140" spans="1:11" ht="20.100000000000001" customHeight="1" x14ac:dyDescent="0.25">
      <c r="A140" s="64"/>
      <c r="B140" s="64"/>
      <c r="C140" s="64"/>
      <c r="D140" s="65"/>
      <c r="E140" s="64"/>
      <c r="F140" s="64"/>
      <c r="G140" s="64"/>
      <c r="H140" s="86"/>
      <c r="I140" s="64"/>
      <c r="J140" s="86"/>
      <c r="K140" s="66"/>
    </row>
    <row r="141" spans="1:11" ht="20.100000000000001" customHeight="1" x14ac:dyDescent="0.25">
      <c r="A141" s="64"/>
      <c r="B141" s="64"/>
      <c r="C141" s="64"/>
      <c r="D141" s="65"/>
      <c r="E141" s="64"/>
      <c r="F141" s="64"/>
      <c r="G141" s="64"/>
      <c r="H141" s="86"/>
      <c r="I141" s="64"/>
      <c r="J141" s="86"/>
      <c r="K141" s="66"/>
    </row>
    <row r="142" spans="1:11" ht="20.100000000000001" customHeight="1" x14ac:dyDescent="0.25">
      <c r="A142" s="64"/>
      <c r="B142" s="64"/>
      <c r="C142" s="64"/>
      <c r="D142" s="65"/>
      <c r="E142" s="64"/>
      <c r="F142" s="64"/>
      <c r="G142" s="64"/>
      <c r="H142" s="86"/>
      <c r="I142" s="64"/>
      <c r="J142" s="86"/>
      <c r="K142" s="66"/>
    </row>
    <row r="143" spans="1:11" ht="20.100000000000001" customHeight="1" x14ac:dyDescent="0.25">
      <c r="A143" s="64"/>
      <c r="B143" s="64"/>
      <c r="C143" s="64"/>
      <c r="D143" s="65"/>
      <c r="E143" s="64"/>
      <c r="F143" s="64"/>
      <c r="G143" s="64"/>
      <c r="H143" s="86"/>
      <c r="I143" s="64"/>
      <c r="J143" s="86"/>
      <c r="K143" s="66"/>
    </row>
    <row r="144" spans="1:11" ht="20.100000000000001" customHeight="1" x14ac:dyDescent="0.25">
      <c r="A144" s="64"/>
      <c r="B144" s="64"/>
      <c r="C144" s="64"/>
      <c r="D144" s="65"/>
      <c r="E144" s="64"/>
      <c r="F144" s="64"/>
      <c r="G144" s="64"/>
      <c r="H144" s="86"/>
      <c r="I144" s="64"/>
      <c r="J144" s="86"/>
      <c r="K144" s="66"/>
    </row>
    <row r="145" spans="1:11" ht="20.100000000000001" customHeight="1" x14ac:dyDescent="0.25">
      <c r="A145" s="64"/>
      <c r="B145" s="64"/>
      <c r="C145" s="64"/>
      <c r="D145" s="65"/>
      <c r="E145" s="64"/>
      <c r="F145" s="64"/>
      <c r="G145" s="64"/>
      <c r="H145" s="86"/>
      <c r="I145" s="64"/>
      <c r="J145" s="86"/>
      <c r="K145" s="66"/>
    </row>
    <row r="146" spans="1:11" ht="20.100000000000001" customHeight="1" x14ac:dyDescent="0.25">
      <c r="A146" s="64"/>
      <c r="B146" s="64"/>
      <c r="C146" s="64"/>
      <c r="D146" s="65"/>
      <c r="E146" s="64"/>
      <c r="F146" s="64"/>
      <c r="G146" s="64"/>
      <c r="H146" s="86"/>
      <c r="I146" s="64"/>
      <c r="J146" s="86"/>
      <c r="K146" s="66"/>
    </row>
    <row r="147" spans="1:11" ht="20.100000000000001" customHeight="1" x14ac:dyDescent="0.25">
      <c r="A147" s="64"/>
      <c r="B147" s="64"/>
      <c r="C147" s="64"/>
      <c r="D147" s="65"/>
      <c r="E147" s="64"/>
      <c r="F147" s="64"/>
      <c r="G147" s="64"/>
      <c r="H147" s="86"/>
      <c r="I147" s="64"/>
      <c r="J147" s="86"/>
      <c r="K147" s="66"/>
    </row>
    <row r="148" spans="1:11" ht="20.100000000000001" customHeight="1" x14ac:dyDescent="0.25">
      <c r="A148" s="64"/>
      <c r="B148" s="64"/>
      <c r="C148" s="64"/>
      <c r="D148" s="65"/>
      <c r="E148" s="64"/>
      <c r="F148" s="64"/>
      <c r="G148" s="64"/>
      <c r="H148" s="86"/>
      <c r="I148" s="64"/>
      <c r="J148" s="86"/>
      <c r="K148" s="66"/>
    </row>
    <row r="149" spans="1:11" ht="20.100000000000001" customHeight="1" x14ac:dyDescent="0.2">
      <c r="A149" s="54"/>
      <c r="B149" s="54"/>
      <c r="C149" s="54"/>
      <c r="D149" s="55"/>
      <c r="E149" s="54"/>
      <c r="F149" s="54"/>
      <c r="G149" s="54"/>
      <c r="H149" s="87"/>
      <c r="I149" s="54"/>
      <c r="J149" s="87"/>
      <c r="K149" s="56"/>
    </row>
    <row r="150" spans="1:11" ht="20.100000000000001" customHeight="1" x14ac:dyDescent="0.2">
      <c r="A150" s="54"/>
      <c r="B150" s="54"/>
      <c r="C150" s="54"/>
      <c r="D150" s="55"/>
      <c r="E150" s="54"/>
      <c r="F150" s="54"/>
      <c r="G150" s="54"/>
      <c r="H150" s="87"/>
      <c r="I150" s="54"/>
      <c r="J150" s="87"/>
      <c r="K150" s="56"/>
    </row>
    <row r="151" spans="1:11" ht="20.100000000000001" customHeight="1" x14ac:dyDescent="0.2">
      <c r="A151" s="54"/>
      <c r="B151" s="54"/>
      <c r="C151" s="54"/>
      <c r="D151" s="55"/>
      <c r="E151" s="54"/>
      <c r="F151" s="54"/>
      <c r="G151" s="54"/>
      <c r="H151" s="87"/>
      <c r="I151" s="54"/>
      <c r="J151" s="87"/>
      <c r="K151" s="56"/>
    </row>
    <row r="152" spans="1:11" ht="20.100000000000001" customHeight="1" x14ac:dyDescent="0.2">
      <c r="A152" s="54"/>
      <c r="B152" s="54"/>
      <c r="C152" s="54"/>
      <c r="D152" s="55"/>
      <c r="E152" s="54"/>
      <c r="F152" s="54"/>
      <c r="G152" s="54"/>
      <c r="H152" s="87"/>
      <c r="I152" s="54"/>
      <c r="J152" s="87"/>
      <c r="K152" s="56"/>
    </row>
    <row r="153" spans="1:11" ht="20.100000000000001" customHeight="1" x14ac:dyDescent="0.2">
      <c r="A153" s="54"/>
      <c r="B153" s="54"/>
      <c r="C153" s="54"/>
      <c r="D153" s="55"/>
      <c r="E153" s="54"/>
      <c r="F153" s="54"/>
      <c r="G153" s="54"/>
      <c r="H153" s="87"/>
      <c r="I153" s="54"/>
      <c r="J153" s="87"/>
      <c r="K153" s="56"/>
    </row>
    <row r="154" spans="1:11" ht="20.100000000000001" customHeight="1" x14ac:dyDescent="0.2">
      <c r="A154" s="54"/>
      <c r="B154" s="54"/>
      <c r="C154" s="54"/>
      <c r="D154" s="55"/>
      <c r="E154" s="54"/>
      <c r="F154" s="54"/>
      <c r="G154" s="54"/>
      <c r="H154" s="87"/>
      <c r="I154" s="54"/>
      <c r="J154" s="87"/>
      <c r="K154" s="56"/>
    </row>
    <row r="155" spans="1:11" ht="20.100000000000001" customHeight="1" x14ac:dyDescent="0.2">
      <c r="A155" s="54"/>
      <c r="B155" s="54"/>
      <c r="C155" s="54"/>
      <c r="D155" s="55"/>
      <c r="E155" s="54"/>
      <c r="F155" s="54"/>
      <c r="G155" s="54"/>
      <c r="H155" s="87"/>
      <c r="I155" s="54"/>
      <c r="J155" s="87"/>
      <c r="K155" s="56"/>
    </row>
    <row r="156" spans="1:11" ht="20.100000000000001" customHeight="1" x14ac:dyDescent="0.2">
      <c r="A156" s="54"/>
      <c r="B156" s="54"/>
      <c r="C156" s="54"/>
      <c r="D156" s="55"/>
      <c r="E156" s="54"/>
      <c r="F156" s="54"/>
      <c r="G156" s="54"/>
      <c r="H156" s="87"/>
      <c r="I156" s="54"/>
      <c r="J156" s="87"/>
      <c r="K156" s="56"/>
    </row>
    <row r="157" spans="1:11" ht="20.100000000000001" customHeight="1" x14ac:dyDescent="0.2">
      <c r="A157" s="54"/>
      <c r="B157" s="54"/>
      <c r="C157" s="54"/>
      <c r="D157" s="55"/>
      <c r="E157" s="54"/>
      <c r="F157" s="54"/>
      <c r="G157" s="54"/>
      <c r="H157" s="87"/>
      <c r="I157" s="54"/>
      <c r="J157" s="87"/>
      <c r="K157" s="56"/>
    </row>
    <row r="158" spans="1:11" ht="20.100000000000001" customHeight="1" x14ac:dyDescent="0.2">
      <c r="A158" s="54"/>
      <c r="B158" s="54"/>
      <c r="C158" s="54"/>
      <c r="D158" s="55"/>
      <c r="E158" s="54"/>
      <c r="F158" s="54"/>
      <c r="G158" s="54"/>
      <c r="H158" s="87"/>
      <c r="I158" s="54"/>
      <c r="J158" s="87"/>
      <c r="K158" s="56"/>
    </row>
    <row r="159" spans="1:11" ht="20.100000000000001" customHeight="1" x14ac:dyDescent="0.2">
      <c r="A159" s="54"/>
      <c r="B159" s="54"/>
      <c r="C159" s="54"/>
      <c r="D159" s="55"/>
      <c r="E159" s="54"/>
      <c r="F159" s="54"/>
      <c r="G159" s="54"/>
      <c r="H159" s="87"/>
      <c r="I159" s="54"/>
      <c r="J159" s="87"/>
      <c r="K159" s="56"/>
    </row>
    <row r="160" spans="1:11" ht="20.100000000000001" customHeight="1" x14ac:dyDescent="0.2">
      <c r="A160" s="54"/>
      <c r="B160" s="54"/>
      <c r="C160" s="54"/>
      <c r="D160" s="55"/>
      <c r="E160" s="54"/>
      <c r="F160" s="54"/>
      <c r="G160" s="54"/>
      <c r="H160" s="87"/>
      <c r="I160" s="54"/>
      <c r="J160" s="87"/>
      <c r="K160" s="56"/>
    </row>
    <row r="161" spans="1:11" ht="20.100000000000001" customHeight="1" x14ac:dyDescent="0.2">
      <c r="A161" s="54"/>
      <c r="B161" s="54"/>
      <c r="C161" s="54"/>
      <c r="D161" s="55"/>
      <c r="E161" s="54"/>
      <c r="F161" s="54"/>
      <c r="G161" s="54"/>
      <c r="H161" s="87"/>
      <c r="I161" s="54"/>
      <c r="J161" s="87"/>
      <c r="K161" s="56"/>
    </row>
    <row r="162" spans="1:11" ht="20.100000000000001" customHeight="1" x14ac:dyDescent="0.2">
      <c r="A162" s="54"/>
      <c r="B162" s="54"/>
      <c r="C162" s="54"/>
      <c r="D162" s="55"/>
      <c r="E162" s="54"/>
      <c r="F162" s="54"/>
      <c r="G162" s="54"/>
      <c r="H162" s="87"/>
      <c r="I162" s="54"/>
      <c r="J162" s="87"/>
      <c r="K162" s="56"/>
    </row>
    <row r="163" spans="1:11" ht="20.100000000000001" customHeight="1" x14ac:dyDescent="0.2">
      <c r="A163" s="54"/>
      <c r="B163" s="54"/>
      <c r="C163" s="54"/>
      <c r="D163" s="55"/>
      <c r="E163" s="54"/>
      <c r="F163" s="54"/>
      <c r="G163" s="54"/>
      <c r="H163" s="87"/>
      <c r="I163" s="54"/>
      <c r="J163" s="87"/>
      <c r="K163" s="56"/>
    </row>
    <row r="164" spans="1:11" ht="20.100000000000001" customHeight="1" x14ac:dyDescent="0.2">
      <c r="A164" s="54"/>
      <c r="B164" s="54"/>
      <c r="C164" s="54"/>
      <c r="D164" s="55"/>
      <c r="E164" s="54"/>
      <c r="F164" s="54"/>
      <c r="G164" s="54"/>
      <c r="H164" s="87"/>
      <c r="I164" s="54"/>
      <c r="J164" s="87"/>
      <c r="K164" s="56"/>
    </row>
    <row r="165" spans="1:11" ht="20.100000000000001" customHeight="1" x14ac:dyDescent="0.2">
      <c r="A165" s="54"/>
      <c r="B165" s="54"/>
      <c r="C165" s="54"/>
      <c r="D165" s="55"/>
      <c r="E165" s="54"/>
      <c r="F165" s="54"/>
      <c r="G165" s="54"/>
      <c r="H165" s="87"/>
      <c r="I165" s="54"/>
      <c r="J165" s="87"/>
      <c r="K165" s="56"/>
    </row>
    <row r="166" spans="1:11" ht="20.100000000000001" customHeight="1" x14ac:dyDescent="0.2">
      <c r="A166" s="54"/>
      <c r="B166" s="54"/>
      <c r="C166" s="54"/>
      <c r="D166" s="55"/>
      <c r="E166" s="54"/>
      <c r="F166" s="54"/>
      <c r="G166" s="54"/>
      <c r="H166" s="87"/>
      <c r="I166" s="54"/>
      <c r="J166" s="87"/>
      <c r="K166" s="56"/>
    </row>
    <row r="167" spans="1:11" ht="20.100000000000001" customHeight="1" x14ac:dyDescent="0.2">
      <c r="A167" s="54"/>
      <c r="B167" s="54"/>
      <c r="C167" s="54"/>
      <c r="D167" s="55"/>
      <c r="E167" s="54"/>
      <c r="F167" s="54"/>
      <c r="G167" s="54"/>
      <c r="H167" s="87"/>
      <c r="I167" s="54"/>
      <c r="J167" s="87"/>
      <c r="K167" s="56"/>
    </row>
    <row r="168" spans="1:11" ht="20.100000000000001" customHeight="1" x14ac:dyDescent="0.2">
      <c r="A168" s="54"/>
      <c r="B168" s="54"/>
      <c r="C168" s="54"/>
      <c r="D168" s="55"/>
      <c r="E168" s="54"/>
      <c r="F168" s="54"/>
      <c r="G168" s="54"/>
      <c r="H168" s="87"/>
      <c r="I168" s="54"/>
      <c r="J168" s="87"/>
      <c r="K168" s="56"/>
    </row>
    <row r="169" spans="1:11" ht="20.100000000000001" customHeight="1" x14ac:dyDescent="0.2">
      <c r="A169" s="54"/>
      <c r="B169" s="54"/>
      <c r="C169" s="54"/>
      <c r="D169" s="55"/>
      <c r="E169" s="54"/>
      <c r="F169" s="54"/>
      <c r="G169" s="54"/>
      <c r="H169" s="87"/>
      <c r="I169" s="54"/>
      <c r="J169" s="87"/>
      <c r="K169" s="56"/>
    </row>
    <row r="170" spans="1:11" ht="20.100000000000001" customHeight="1" x14ac:dyDescent="0.2">
      <c r="A170" s="54"/>
      <c r="B170" s="54"/>
      <c r="C170" s="54"/>
      <c r="D170" s="55"/>
      <c r="E170" s="54"/>
      <c r="F170" s="54"/>
      <c r="G170" s="54"/>
      <c r="H170" s="87"/>
      <c r="I170" s="54"/>
      <c r="J170" s="87"/>
      <c r="K170" s="56"/>
    </row>
    <row r="171" spans="1:11" ht="20.100000000000001" customHeight="1" x14ac:dyDescent="0.2">
      <c r="A171" s="54"/>
      <c r="B171" s="54"/>
      <c r="C171" s="54"/>
      <c r="D171" s="55"/>
      <c r="E171" s="54"/>
      <c r="F171" s="54"/>
      <c r="G171" s="54"/>
      <c r="H171" s="87"/>
      <c r="I171" s="54"/>
      <c r="J171" s="87"/>
      <c r="K171" s="56"/>
    </row>
    <row r="172" spans="1:11" ht="20.100000000000001" customHeight="1" x14ac:dyDescent="0.2">
      <c r="A172" s="54"/>
      <c r="B172" s="54"/>
      <c r="C172" s="54"/>
      <c r="D172" s="55"/>
      <c r="E172" s="54"/>
      <c r="F172" s="54"/>
      <c r="G172" s="54"/>
      <c r="H172" s="87"/>
      <c r="I172" s="54"/>
      <c r="J172" s="87"/>
      <c r="K172" s="56"/>
    </row>
    <row r="173" spans="1:11" ht="20.100000000000001" customHeight="1" x14ac:dyDescent="0.2">
      <c r="A173" s="54"/>
      <c r="B173" s="54"/>
      <c r="C173" s="54"/>
      <c r="D173" s="55"/>
      <c r="E173" s="54"/>
      <c r="F173" s="54"/>
      <c r="G173" s="54"/>
      <c r="H173" s="87"/>
      <c r="I173" s="54"/>
      <c r="J173" s="87"/>
      <c r="K173" s="56"/>
    </row>
    <row r="174" spans="1:11" ht="20.100000000000001" customHeight="1" x14ac:dyDescent="0.2">
      <c r="A174" s="54"/>
      <c r="B174" s="54"/>
      <c r="C174" s="54"/>
      <c r="D174" s="55"/>
      <c r="E174" s="54"/>
      <c r="F174" s="54"/>
      <c r="G174" s="54"/>
      <c r="H174" s="87"/>
      <c r="I174" s="54"/>
      <c r="J174" s="87"/>
      <c r="K174" s="56"/>
    </row>
    <row r="175" spans="1:11" ht="20.100000000000001" customHeight="1" x14ac:dyDescent="0.2">
      <c r="A175" s="54"/>
      <c r="B175" s="54"/>
      <c r="C175" s="54"/>
      <c r="D175" s="55"/>
      <c r="E175" s="54"/>
      <c r="F175" s="54"/>
      <c r="G175" s="54"/>
      <c r="H175" s="87"/>
      <c r="I175" s="54"/>
      <c r="J175" s="87"/>
      <c r="K175" s="56"/>
    </row>
    <row r="176" spans="1:11" ht="20.100000000000001" customHeight="1" x14ac:dyDescent="0.2">
      <c r="A176" s="54"/>
      <c r="B176" s="54"/>
      <c r="C176" s="54"/>
      <c r="D176" s="55"/>
      <c r="E176" s="54"/>
      <c r="F176" s="54"/>
      <c r="G176" s="54"/>
      <c r="H176" s="87"/>
      <c r="I176" s="54"/>
      <c r="J176" s="87"/>
      <c r="K176" s="56"/>
    </row>
    <row r="177" spans="1:11" ht="20.100000000000001" customHeight="1" x14ac:dyDescent="0.2">
      <c r="A177" s="54"/>
      <c r="B177" s="54"/>
      <c r="C177" s="54"/>
      <c r="D177" s="55"/>
      <c r="E177" s="54"/>
      <c r="F177" s="54"/>
      <c r="G177" s="54"/>
      <c r="H177" s="87"/>
      <c r="I177" s="54"/>
      <c r="J177" s="87"/>
      <c r="K177" s="56"/>
    </row>
  </sheetData>
  <autoFilter ref="A1:K1"/>
  <sortState ref="A2:K16">
    <sortCondition ref="A2"/>
    <sortCondition ref="B2"/>
  </sortState>
  <conditionalFormatting sqref="E1">
    <cfRule type="duplicateValues" dxfId="23" priority="57"/>
  </conditionalFormatting>
  <conditionalFormatting sqref="E90:E91 E110:E117 E120:E143 E145:E148">
    <cfRule type="duplicateValues" dxfId="22" priority="31"/>
  </conditionalFormatting>
  <conditionalFormatting sqref="E37:E131 E17:E29">
    <cfRule type="duplicateValues" dxfId="21" priority="25"/>
  </conditionalFormatting>
  <conditionalFormatting sqref="E18:E25">
    <cfRule type="duplicateValues" dxfId="20" priority="24"/>
  </conditionalFormatting>
  <conditionalFormatting sqref="E24:E25">
    <cfRule type="duplicateValues" dxfId="19" priority="23"/>
  </conditionalFormatting>
  <conditionalFormatting sqref="E90:E95 E47:E81 E41:E42">
    <cfRule type="duplicateValues" dxfId="18" priority="21"/>
  </conditionalFormatting>
  <conditionalFormatting sqref="D58:D59 D64:D76 D15:D16">
    <cfRule type="duplicateValues" dxfId="17" priority="19"/>
  </conditionalFormatting>
  <conditionalFormatting sqref="E58:E59 E64:E76">
    <cfRule type="duplicateValues" dxfId="16" priority="18"/>
  </conditionalFormatting>
  <conditionalFormatting sqref="E81:E82 E89:E92 E28:E29 E17:E26">
    <cfRule type="duplicateValues" dxfId="15" priority="16"/>
  </conditionalFormatting>
  <conditionalFormatting sqref="E43:E44 E17:E40">
    <cfRule type="duplicateValues" dxfId="14" priority="15"/>
  </conditionalFormatting>
  <conditionalFormatting sqref="E37:E38">
    <cfRule type="duplicateValues" dxfId="13" priority="13"/>
  </conditionalFormatting>
  <conditionalFormatting sqref="E17:E19">
    <cfRule type="duplicateValues" dxfId="12" priority="8"/>
  </conditionalFormatting>
  <conditionalFormatting sqref="E17:E18">
    <cfRule type="duplicateValues" dxfId="11" priority="129"/>
  </conditionalFormatting>
  <conditionalFormatting sqref="E17:E145">
    <cfRule type="duplicateValues" dxfId="10" priority="192"/>
  </conditionalFormatting>
  <conditionalFormatting sqref="E17:E23">
    <cfRule type="duplicateValues" dxfId="9" priority="194"/>
  </conditionalFormatting>
  <conditionalFormatting sqref="E17:E43">
    <cfRule type="duplicateValues" dxfId="8" priority="203"/>
  </conditionalFormatting>
  <conditionalFormatting sqref="E17:E60">
    <cfRule type="duplicateValues" dxfId="7" priority="205"/>
  </conditionalFormatting>
  <conditionalFormatting sqref="E17:E66">
    <cfRule type="duplicateValues" dxfId="6" priority="207"/>
  </conditionalFormatting>
  <conditionalFormatting sqref="E17:E75">
    <cfRule type="duplicateValues" dxfId="5" priority="212"/>
  </conditionalFormatting>
  <conditionalFormatting sqref="E17:E52">
    <cfRule type="duplicateValues" dxfId="4" priority="215"/>
  </conditionalFormatting>
  <conditionalFormatting sqref="E17:E31">
    <cfRule type="duplicateValues" dxfId="3" priority="219"/>
  </conditionalFormatting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AJ5"/>
  <sheetViews>
    <sheetView tabSelected="1" zoomScale="85" zoomScaleNormal="85" workbookViewId="0">
      <selection activeCell="L15" sqref="L15"/>
    </sheetView>
  </sheetViews>
  <sheetFormatPr defaultRowHeight="14.25" x14ac:dyDescent="0.25"/>
  <cols>
    <col min="1" max="1" width="16.7109375" style="76" customWidth="1"/>
    <col min="2" max="2" width="9" style="39" customWidth="1"/>
    <col min="3" max="3" width="12.7109375" style="39" customWidth="1"/>
    <col min="4" max="4" width="15.85546875" style="40" customWidth="1"/>
    <col min="5" max="5" width="21.28515625" style="39" customWidth="1"/>
    <col min="6" max="6" width="16.140625" style="39" customWidth="1"/>
    <col min="7" max="7" width="7" style="39" customWidth="1"/>
    <col min="8" max="8" width="6.42578125" style="39" customWidth="1"/>
    <col min="9" max="9" width="19.7109375" style="39" customWidth="1"/>
    <col min="10" max="10" width="18.5703125" style="39" customWidth="1"/>
    <col min="11" max="11" width="25.5703125" style="39" customWidth="1"/>
    <col min="12" max="12" width="37.42578125" style="39" customWidth="1"/>
    <col min="13" max="13" width="12" style="41" customWidth="1"/>
    <col min="14" max="14" width="10.5703125" style="78" customWidth="1"/>
    <col min="15" max="15" width="29" style="78" customWidth="1"/>
    <col min="16" max="16" width="12.85546875" style="78" customWidth="1"/>
    <col min="17" max="17" width="18.42578125" style="39" customWidth="1"/>
    <col min="18" max="18" width="6.85546875" style="39" customWidth="1"/>
    <col min="19" max="19" width="4.7109375" style="76" hidden="1" customWidth="1"/>
    <col min="20" max="20" width="4.85546875" style="47" customWidth="1"/>
    <col min="21" max="21" width="12.5703125" style="39" customWidth="1"/>
    <col min="22" max="22" width="10.85546875" style="39" customWidth="1"/>
    <col min="23" max="23" width="14.5703125" style="39" customWidth="1"/>
    <col min="24" max="24" width="20.85546875" style="39" customWidth="1"/>
    <col min="25" max="25" width="12.5703125" style="39" customWidth="1"/>
    <col min="26" max="36" width="6.5703125" style="39" customWidth="1"/>
    <col min="37" max="16384" width="9.140625" style="39"/>
  </cols>
  <sheetData>
    <row r="1" spans="1:36" s="51" customFormat="1" ht="30" customHeight="1" x14ac:dyDescent="0.25">
      <c r="A1" s="98" t="s">
        <v>43</v>
      </c>
      <c r="B1" s="98"/>
      <c r="C1" s="52">
        <v>44776.704062500001</v>
      </c>
      <c r="D1" s="53" t="s">
        <v>127</v>
      </c>
      <c r="E1" s="48"/>
      <c r="F1" s="48"/>
      <c r="G1" s="48"/>
      <c r="H1" s="48"/>
      <c r="I1" s="48"/>
      <c r="J1" s="48"/>
      <c r="K1" s="48"/>
      <c r="L1" s="48"/>
      <c r="M1" s="49"/>
      <c r="N1" s="77"/>
      <c r="O1" s="77"/>
      <c r="P1" s="77"/>
      <c r="Q1" s="48"/>
      <c r="R1" s="48"/>
      <c r="S1" s="79"/>
      <c r="T1" s="50"/>
      <c r="U1" s="48"/>
      <c r="V1" s="48"/>
      <c r="W1" s="48"/>
      <c r="X1" s="90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</row>
    <row r="2" spans="1:36" s="7" customFormat="1" ht="31.5" customHeight="1" x14ac:dyDescent="0.25">
      <c r="A2" s="75" t="s">
        <v>44</v>
      </c>
      <c r="B2" s="73" t="s">
        <v>4</v>
      </c>
      <c r="C2" s="58" t="s">
        <v>33</v>
      </c>
      <c r="D2" s="59" t="s">
        <v>34</v>
      </c>
      <c r="E2" s="57" t="s">
        <v>11</v>
      </c>
      <c r="F2" s="73" t="s">
        <v>45</v>
      </c>
      <c r="G2" s="74" t="s">
        <v>8</v>
      </c>
      <c r="H2" s="59" t="s">
        <v>35</v>
      </c>
      <c r="I2" s="57" t="s">
        <v>12</v>
      </c>
      <c r="J2" s="58" t="s">
        <v>37</v>
      </c>
      <c r="K2" s="58" t="s">
        <v>2</v>
      </c>
      <c r="L2" s="59" t="s">
        <v>1</v>
      </c>
      <c r="M2" s="57" t="s">
        <v>114</v>
      </c>
      <c r="N2" s="73" t="s">
        <v>36</v>
      </c>
      <c r="O2" s="74" t="s">
        <v>38</v>
      </c>
      <c r="P2" s="81" t="s">
        <v>15</v>
      </c>
      <c r="Q2" s="57" t="s">
        <v>124</v>
      </c>
      <c r="R2" s="57" t="s">
        <v>125</v>
      </c>
      <c r="S2" s="80" t="s">
        <v>84</v>
      </c>
      <c r="T2" s="60" t="s">
        <v>85</v>
      </c>
      <c r="U2" s="57" t="s">
        <v>41</v>
      </c>
      <c r="V2" s="57" t="s">
        <v>42</v>
      </c>
      <c r="W2" s="58" t="s">
        <v>46</v>
      </c>
      <c r="X2" s="91" t="s">
        <v>39</v>
      </c>
      <c r="Y2" s="57" t="s">
        <v>5</v>
      </c>
      <c r="Z2" s="57" t="s">
        <v>21</v>
      </c>
      <c r="AA2" s="58" t="s">
        <v>23</v>
      </c>
      <c r="AB2" s="59" t="s">
        <v>20</v>
      </c>
      <c r="AC2" s="57" t="s">
        <v>22</v>
      </c>
      <c r="AD2" s="57" t="s">
        <v>29</v>
      </c>
      <c r="AE2" s="58" t="s">
        <v>30</v>
      </c>
      <c r="AF2" s="59" t="s">
        <v>31</v>
      </c>
      <c r="AG2" s="57" t="s">
        <v>32</v>
      </c>
      <c r="AH2" s="57" t="s">
        <v>24</v>
      </c>
      <c r="AI2" s="61" t="s">
        <v>111</v>
      </c>
      <c r="AJ2" s="62" t="s">
        <v>110</v>
      </c>
    </row>
    <row r="3" spans="1:36" ht="128.25" x14ac:dyDescent="0.25">
      <c r="A3" s="76" t="s">
        <v>7</v>
      </c>
      <c r="B3" s="39" t="s">
        <v>116</v>
      </c>
      <c r="D3" s="40">
        <v>161754415</v>
      </c>
      <c r="E3" s="39" t="s">
        <v>180</v>
      </c>
      <c r="F3" s="39" t="s">
        <v>179</v>
      </c>
      <c r="G3" s="39" t="s">
        <v>204</v>
      </c>
      <c r="H3" s="39">
        <v>2</v>
      </c>
      <c r="I3" s="39" t="s">
        <v>202</v>
      </c>
      <c r="J3" s="39" t="s">
        <v>199</v>
      </c>
      <c r="L3" s="39" t="s">
        <v>198</v>
      </c>
      <c r="N3" s="78" t="e">
        <v>#N/A</v>
      </c>
      <c r="O3" s="78" t="s">
        <v>201</v>
      </c>
      <c r="P3" s="78" t="e">
        <v>#N/A</v>
      </c>
      <c r="R3" s="39">
        <v>1</v>
      </c>
      <c r="Y3" s="39">
        <v>111797</v>
      </c>
      <c r="Z3" s="39">
        <v>1</v>
      </c>
      <c r="AH3" s="39">
        <v>1</v>
      </c>
    </row>
    <row r="4" spans="1:36" ht="185.25" x14ac:dyDescent="0.25">
      <c r="A4" s="76" t="s">
        <v>7</v>
      </c>
      <c r="B4" s="39" t="s">
        <v>116</v>
      </c>
      <c r="D4" s="40">
        <v>161767708</v>
      </c>
      <c r="E4" s="39" t="s">
        <v>142</v>
      </c>
      <c r="F4" s="39" t="s">
        <v>184</v>
      </c>
      <c r="G4" s="39" t="s">
        <v>204</v>
      </c>
      <c r="H4" s="39">
        <v>13</v>
      </c>
      <c r="I4" s="39" t="s">
        <v>203</v>
      </c>
      <c r="J4" s="39" t="s">
        <v>199</v>
      </c>
      <c r="L4" s="39" t="s">
        <v>198</v>
      </c>
      <c r="N4" s="78" t="e">
        <v>#N/A</v>
      </c>
      <c r="O4" s="78" t="s">
        <v>201</v>
      </c>
      <c r="P4" s="78" t="e">
        <v>#N/A</v>
      </c>
      <c r="R4" s="39">
        <v>1</v>
      </c>
      <c r="Y4" s="39">
        <v>111797</v>
      </c>
      <c r="Z4" s="39">
        <v>13</v>
      </c>
    </row>
    <row r="5" spans="1:36" ht="15" customHeight="1" x14ac:dyDescent="0.25">
      <c r="A5" s="92"/>
      <c r="B5" s="92"/>
      <c r="C5" s="92"/>
      <c r="D5" s="93"/>
      <c r="E5" s="92"/>
      <c r="F5" s="92"/>
      <c r="G5" s="92"/>
      <c r="H5" s="92">
        <f>SUM(H3:H4)</f>
        <v>15</v>
      </c>
      <c r="I5" s="92"/>
      <c r="J5" s="92"/>
      <c r="K5" s="92"/>
      <c r="L5" s="92"/>
      <c r="M5" s="94"/>
      <c r="N5" s="92"/>
      <c r="O5" s="92"/>
      <c r="P5" s="92"/>
      <c r="Q5" s="92"/>
      <c r="R5" s="92">
        <f>SUM(R3:R4)</f>
        <v>2</v>
      </c>
      <c r="S5" s="92"/>
      <c r="T5" s="95">
        <f>SUM(T3:T4)</f>
        <v>0</v>
      </c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</row>
  </sheetData>
  <mergeCells count="1">
    <mergeCell ref="A1:B1"/>
  </mergeCells>
  <conditionalFormatting sqref="D1:D1048576">
    <cfRule type="duplicateValues" dxfId="2" priority="106"/>
    <cfRule type="duplicateValues" dxfId="1" priority="111"/>
  </conditionalFormatting>
  <conditionalFormatting sqref="E1:E1048576">
    <cfRule type="duplicateValues" dxfId="0" priority="118"/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70C0"/>
  </sheetPr>
  <dimension ref="A1:S21"/>
  <sheetViews>
    <sheetView zoomScale="90" zoomScaleNormal="90" workbookViewId="0">
      <pane ySplit="3" topLeftCell="A16" activePane="bottomLeft" state="frozen"/>
      <selection pane="bottomLeft" activeCell="C25" sqref="C25"/>
    </sheetView>
  </sheetViews>
  <sheetFormatPr defaultColWidth="20.5703125" defaultRowHeight="60" customHeight="1" x14ac:dyDescent="0.25"/>
  <cols>
    <col min="1" max="1" width="10.5703125" style="2" customWidth="1"/>
    <col min="2" max="2" width="12.5703125" style="2" customWidth="1"/>
    <col min="3" max="3" width="20.5703125" style="2"/>
    <col min="4" max="7" width="12.5703125" style="2" customWidth="1"/>
    <col min="8" max="8" width="48.7109375" style="2" customWidth="1"/>
    <col min="9" max="19" width="12.5703125" style="2" customWidth="1"/>
    <col min="20" max="16384" width="20.5703125" style="1"/>
  </cols>
  <sheetData>
    <row r="1" spans="1:19" s="19" customFormat="1" ht="30" customHeight="1" x14ac:dyDescent="0.25"/>
    <row r="2" spans="1:19" ht="30" customHeight="1" x14ac:dyDescent="0.25">
      <c r="A2" s="3" t="s">
        <v>57</v>
      </c>
      <c r="B2" s="3" t="s">
        <v>58</v>
      </c>
      <c r="C2" s="3" t="s">
        <v>49</v>
      </c>
      <c r="D2" s="3" t="s">
        <v>51</v>
      </c>
      <c r="E2" s="3" t="s">
        <v>52</v>
      </c>
      <c r="F2" s="3" t="s">
        <v>59</v>
      </c>
      <c r="G2" s="3" t="s">
        <v>60</v>
      </c>
      <c r="H2" s="3" t="s">
        <v>61</v>
      </c>
      <c r="I2" s="38" t="s">
        <v>117</v>
      </c>
      <c r="J2" s="38" t="s">
        <v>118</v>
      </c>
      <c r="K2" s="38" t="s">
        <v>119</v>
      </c>
      <c r="L2" s="38" t="s">
        <v>120</v>
      </c>
      <c r="M2" s="38" t="s">
        <v>121</v>
      </c>
      <c r="N2" s="3"/>
      <c r="O2" s="3"/>
      <c r="P2" s="3"/>
      <c r="Q2" s="3"/>
      <c r="R2" s="3"/>
      <c r="S2" s="3"/>
    </row>
    <row r="3" spans="1:19" ht="30" customHeight="1" x14ac:dyDescent="0.25">
      <c r="A3" s="3" t="s">
        <v>57</v>
      </c>
      <c r="B3" s="3" t="s">
        <v>58</v>
      </c>
      <c r="C3" s="3" t="s">
        <v>62</v>
      </c>
      <c r="D3" s="3" t="s">
        <v>63</v>
      </c>
      <c r="E3" s="3" t="s">
        <v>64</v>
      </c>
      <c r="F3" s="3" t="s">
        <v>65</v>
      </c>
      <c r="G3" s="3" t="s">
        <v>66</v>
      </c>
      <c r="H3" s="3" t="s">
        <v>1</v>
      </c>
      <c r="I3" s="3" t="s">
        <v>67</v>
      </c>
      <c r="J3" s="3" t="s">
        <v>68</v>
      </c>
      <c r="K3" s="3" t="s">
        <v>69</v>
      </c>
      <c r="L3" s="3" t="s">
        <v>70</v>
      </c>
      <c r="M3" s="3" t="s">
        <v>71</v>
      </c>
      <c r="N3" s="3" t="s">
        <v>72</v>
      </c>
      <c r="O3" s="3" t="s">
        <v>73</v>
      </c>
      <c r="P3" s="3" t="s">
        <v>74</v>
      </c>
      <c r="Q3" s="3" t="s">
        <v>75</v>
      </c>
      <c r="R3" s="3" t="s">
        <v>76</v>
      </c>
      <c r="S3" s="3" t="s">
        <v>122</v>
      </c>
    </row>
    <row r="4" spans="1:19" ht="60" customHeight="1" x14ac:dyDescent="0.25">
      <c r="A4" s="42" t="s">
        <v>77</v>
      </c>
      <c r="B4" s="42">
        <v>161654580</v>
      </c>
      <c r="C4" s="42" t="s">
        <v>50</v>
      </c>
      <c r="D4" s="42">
        <v>2617</v>
      </c>
      <c r="E4" s="42" t="s">
        <v>53</v>
      </c>
      <c r="F4" s="42">
        <v>79673</v>
      </c>
      <c r="G4" s="42" t="s">
        <v>116</v>
      </c>
      <c r="H4" s="42" t="s">
        <v>78</v>
      </c>
      <c r="I4" s="42"/>
      <c r="J4" s="42"/>
      <c r="K4" s="42"/>
      <c r="L4" s="42"/>
      <c r="M4" s="42" t="s">
        <v>123</v>
      </c>
      <c r="N4" s="42"/>
      <c r="O4" s="42"/>
      <c r="P4" s="42"/>
      <c r="Q4" s="42"/>
      <c r="R4" s="42"/>
    </row>
    <row r="5" spans="1:19" ht="60" customHeight="1" x14ac:dyDescent="0.25">
      <c r="A5" s="20" t="s">
        <v>79</v>
      </c>
      <c r="B5" s="20">
        <v>161654580</v>
      </c>
      <c r="C5" s="20" t="s">
        <v>129</v>
      </c>
      <c r="D5" s="20">
        <v>6</v>
      </c>
      <c r="E5" s="63">
        <v>44747</v>
      </c>
      <c r="F5" s="63">
        <v>44747</v>
      </c>
      <c r="G5" s="63">
        <v>44747</v>
      </c>
      <c r="H5" s="20" t="s">
        <v>165</v>
      </c>
      <c r="I5" s="20"/>
      <c r="J5" s="20">
        <v>0.9</v>
      </c>
      <c r="K5" s="20" t="s">
        <v>80</v>
      </c>
      <c r="L5" s="20"/>
      <c r="M5" s="20"/>
      <c r="N5" s="20"/>
      <c r="O5" s="20" t="s">
        <v>78</v>
      </c>
      <c r="P5" s="20">
        <v>11.66</v>
      </c>
      <c r="Q5" s="20" t="s">
        <v>80</v>
      </c>
      <c r="R5" s="20"/>
    </row>
    <row r="6" spans="1:19" ht="60" customHeight="1" x14ac:dyDescent="0.25">
      <c r="A6" s="20" t="s">
        <v>79</v>
      </c>
      <c r="B6" s="20">
        <v>161654580</v>
      </c>
      <c r="C6" s="20" t="s">
        <v>131</v>
      </c>
      <c r="D6" s="20">
        <v>8</v>
      </c>
      <c r="E6" s="63">
        <v>44747</v>
      </c>
      <c r="F6" s="63">
        <v>44747</v>
      </c>
      <c r="G6" s="63">
        <v>44747</v>
      </c>
      <c r="H6" s="20" t="s">
        <v>166</v>
      </c>
      <c r="I6" s="20"/>
      <c r="J6" s="20">
        <v>0.9</v>
      </c>
      <c r="K6" s="20" t="s">
        <v>80</v>
      </c>
      <c r="L6" s="20"/>
      <c r="M6" s="20"/>
      <c r="N6" s="20"/>
      <c r="O6" s="20" t="s">
        <v>78</v>
      </c>
      <c r="P6" s="20">
        <v>11.24</v>
      </c>
      <c r="Q6" s="20" t="s">
        <v>80</v>
      </c>
      <c r="R6" s="20"/>
    </row>
    <row r="7" spans="1:19" ht="60" customHeight="1" x14ac:dyDescent="0.25">
      <c r="A7" s="20" t="s">
        <v>79</v>
      </c>
      <c r="B7" s="20">
        <v>161654580</v>
      </c>
      <c r="C7" s="20" t="s">
        <v>132</v>
      </c>
      <c r="D7" s="20">
        <v>3</v>
      </c>
      <c r="E7" s="63">
        <v>44747</v>
      </c>
      <c r="F7" s="63">
        <v>44747</v>
      </c>
      <c r="G7" s="63">
        <v>44747</v>
      </c>
      <c r="H7" s="20" t="s">
        <v>167</v>
      </c>
      <c r="I7" s="20"/>
      <c r="J7" s="20">
        <v>0.9</v>
      </c>
      <c r="K7" s="20" t="s">
        <v>80</v>
      </c>
      <c r="L7" s="20"/>
      <c r="M7" s="20"/>
      <c r="N7" s="20"/>
      <c r="O7" s="20" t="s">
        <v>78</v>
      </c>
      <c r="P7" s="20">
        <v>45.71</v>
      </c>
      <c r="Q7" s="20" t="s">
        <v>80</v>
      </c>
      <c r="R7" s="20"/>
    </row>
    <row r="8" spans="1:19" ht="60" customHeight="1" x14ac:dyDescent="0.25">
      <c r="A8" s="20" t="s">
        <v>79</v>
      </c>
      <c r="B8" s="20">
        <v>161654580</v>
      </c>
      <c r="C8" s="20" t="s">
        <v>133</v>
      </c>
      <c r="D8" s="20">
        <v>4</v>
      </c>
      <c r="E8" s="63">
        <v>44747</v>
      </c>
      <c r="F8" s="63">
        <v>44747</v>
      </c>
      <c r="G8" s="63">
        <v>44747</v>
      </c>
      <c r="H8" s="20" t="s">
        <v>168</v>
      </c>
      <c r="I8" s="20"/>
      <c r="J8" s="20">
        <v>0.9</v>
      </c>
      <c r="K8" s="20" t="s">
        <v>80</v>
      </c>
      <c r="L8" s="20"/>
      <c r="M8" s="20"/>
      <c r="N8" s="20"/>
      <c r="O8" s="20" t="s">
        <v>78</v>
      </c>
      <c r="P8" s="20">
        <v>13.15</v>
      </c>
      <c r="Q8" s="20" t="s">
        <v>80</v>
      </c>
      <c r="R8" s="20"/>
    </row>
    <row r="9" spans="1:19" ht="60" customHeight="1" x14ac:dyDescent="0.25">
      <c r="A9" s="20" t="s">
        <v>79</v>
      </c>
      <c r="B9" s="20">
        <v>161654580</v>
      </c>
      <c r="C9" s="20" t="s">
        <v>146</v>
      </c>
      <c r="D9" s="20">
        <v>3</v>
      </c>
      <c r="E9" s="63">
        <v>44747</v>
      </c>
      <c r="F9" s="63">
        <v>44747</v>
      </c>
      <c r="G9" s="63">
        <v>44747</v>
      </c>
      <c r="H9" s="20" t="s">
        <v>169</v>
      </c>
      <c r="I9" s="20"/>
      <c r="J9" s="20">
        <v>0.9</v>
      </c>
      <c r="K9" s="20" t="s">
        <v>80</v>
      </c>
      <c r="L9" s="20"/>
      <c r="M9" s="20"/>
      <c r="N9" s="20"/>
      <c r="O9" s="20" t="s">
        <v>78</v>
      </c>
      <c r="P9" s="20">
        <v>21.56</v>
      </c>
      <c r="Q9" s="20" t="s">
        <v>80</v>
      </c>
      <c r="R9" s="20"/>
    </row>
    <row r="10" spans="1:19" ht="60" customHeight="1" x14ac:dyDescent="0.25">
      <c r="A10" s="20" t="s">
        <v>79</v>
      </c>
      <c r="B10" s="20">
        <v>161654580</v>
      </c>
      <c r="C10" s="20" t="s">
        <v>134</v>
      </c>
      <c r="D10" s="20">
        <v>3</v>
      </c>
      <c r="E10" s="63">
        <v>44747</v>
      </c>
      <c r="F10" s="63">
        <v>44747</v>
      </c>
      <c r="G10" s="63">
        <v>44747</v>
      </c>
      <c r="H10" s="20" t="s">
        <v>169</v>
      </c>
      <c r="I10" s="20"/>
      <c r="J10" s="20">
        <v>0.9</v>
      </c>
      <c r="K10" s="20" t="s">
        <v>80</v>
      </c>
      <c r="L10" s="20"/>
      <c r="M10" s="20"/>
      <c r="N10" s="20"/>
      <c r="O10" s="20" t="s">
        <v>78</v>
      </c>
      <c r="P10" s="20">
        <v>49</v>
      </c>
      <c r="Q10" s="20" t="s">
        <v>80</v>
      </c>
      <c r="R10" s="20"/>
    </row>
    <row r="11" spans="1:19" ht="60" customHeight="1" x14ac:dyDescent="0.25">
      <c r="A11" s="20" t="s">
        <v>79</v>
      </c>
      <c r="B11" s="20">
        <v>161654580</v>
      </c>
      <c r="C11" s="20" t="s">
        <v>135</v>
      </c>
      <c r="D11" s="20">
        <v>1</v>
      </c>
      <c r="E11" s="63">
        <v>44747</v>
      </c>
      <c r="F11" s="63">
        <v>44747</v>
      </c>
      <c r="G11" s="63">
        <v>44747</v>
      </c>
      <c r="H11" s="20" t="s">
        <v>170</v>
      </c>
      <c r="I11" s="20"/>
      <c r="J11" s="20">
        <v>0.9</v>
      </c>
      <c r="K11" s="20" t="s">
        <v>80</v>
      </c>
      <c r="L11" s="20"/>
      <c r="M11" s="20"/>
      <c r="N11" s="20"/>
      <c r="O11" s="20" t="s">
        <v>78</v>
      </c>
      <c r="P11" s="20">
        <v>56.8</v>
      </c>
      <c r="Q11" s="20" t="s">
        <v>80</v>
      </c>
      <c r="R11" s="20"/>
    </row>
    <row r="12" spans="1:19" ht="60" customHeight="1" x14ac:dyDescent="0.25">
      <c r="A12" s="20" t="s">
        <v>79</v>
      </c>
      <c r="B12" s="20">
        <v>161654580</v>
      </c>
      <c r="C12" s="20" t="s">
        <v>142</v>
      </c>
      <c r="D12" s="20">
        <v>2</v>
      </c>
      <c r="E12" s="63">
        <v>44747</v>
      </c>
      <c r="F12" s="63">
        <v>44747</v>
      </c>
      <c r="G12" s="63">
        <v>44747</v>
      </c>
      <c r="H12" s="20" t="s">
        <v>171</v>
      </c>
      <c r="I12" s="20"/>
      <c r="J12" s="20">
        <v>0.9</v>
      </c>
      <c r="K12" s="20" t="s">
        <v>80</v>
      </c>
      <c r="L12" s="20"/>
      <c r="M12" s="20"/>
      <c r="N12" s="20"/>
      <c r="O12" s="20" t="s">
        <v>78</v>
      </c>
      <c r="P12" s="20">
        <v>305.16000000000003</v>
      </c>
      <c r="Q12" s="20" t="s">
        <v>80</v>
      </c>
      <c r="R12" s="20"/>
    </row>
    <row r="13" spans="1:19" ht="60" customHeight="1" x14ac:dyDescent="0.25">
      <c r="A13" s="20" t="s">
        <v>79</v>
      </c>
      <c r="B13" s="20">
        <v>161654580</v>
      </c>
      <c r="C13" s="20" t="s">
        <v>143</v>
      </c>
      <c r="D13" s="20">
        <v>1</v>
      </c>
      <c r="E13" s="63">
        <v>44747</v>
      </c>
      <c r="F13" s="63">
        <v>44747</v>
      </c>
      <c r="G13" s="63">
        <v>44747</v>
      </c>
      <c r="H13" s="20" t="s">
        <v>172</v>
      </c>
      <c r="I13" s="20"/>
      <c r="J13" s="20">
        <v>0.9</v>
      </c>
      <c r="K13" s="20" t="s">
        <v>80</v>
      </c>
      <c r="L13" s="20"/>
      <c r="M13" s="20"/>
      <c r="N13" s="20"/>
      <c r="O13" s="20" t="s">
        <v>78</v>
      </c>
      <c r="P13" s="20">
        <v>324.35000000000002</v>
      </c>
      <c r="Q13" s="20" t="s">
        <v>80</v>
      </c>
      <c r="R13" s="20"/>
    </row>
    <row r="14" spans="1:19" ht="60" customHeight="1" x14ac:dyDescent="0.25">
      <c r="A14" s="20" t="s">
        <v>79</v>
      </c>
      <c r="B14" s="20">
        <v>161654580</v>
      </c>
      <c r="C14" s="20" t="s">
        <v>147</v>
      </c>
      <c r="D14" s="20">
        <v>1</v>
      </c>
      <c r="E14" s="63">
        <v>44747</v>
      </c>
      <c r="F14" s="63">
        <v>44747</v>
      </c>
      <c r="G14" s="63">
        <v>44747</v>
      </c>
      <c r="H14" s="20" t="s">
        <v>170</v>
      </c>
      <c r="I14" s="20"/>
      <c r="J14" s="20">
        <v>0.9</v>
      </c>
      <c r="K14" s="20" t="s">
        <v>80</v>
      </c>
      <c r="L14" s="20"/>
      <c r="M14" s="20"/>
      <c r="N14" s="20"/>
      <c r="O14" s="20" t="s">
        <v>78</v>
      </c>
      <c r="P14" s="20">
        <v>49.66</v>
      </c>
      <c r="Q14" s="20" t="s">
        <v>80</v>
      </c>
      <c r="R14" s="20"/>
    </row>
    <row r="15" spans="1:19" ht="60" customHeight="1" x14ac:dyDescent="0.25">
      <c r="A15" s="20" t="s">
        <v>79</v>
      </c>
      <c r="B15" s="20">
        <v>161654580</v>
      </c>
      <c r="C15" s="20" t="s">
        <v>144</v>
      </c>
      <c r="D15" s="20">
        <v>4</v>
      </c>
      <c r="E15" s="63">
        <v>44747</v>
      </c>
      <c r="F15" s="63">
        <v>44747</v>
      </c>
      <c r="G15" s="63">
        <v>44747</v>
      </c>
      <c r="H15" s="20" t="s">
        <v>173</v>
      </c>
      <c r="I15" s="20"/>
      <c r="J15" s="20">
        <v>0.9</v>
      </c>
      <c r="K15" s="20" t="s">
        <v>80</v>
      </c>
      <c r="L15" s="20"/>
      <c r="M15" s="20"/>
      <c r="N15" s="20"/>
      <c r="O15" s="20" t="s">
        <v>78</v>
      </c>
      <c r="P15" s="20">
        <v>181.7</v>
      </c>
      <c r="Q15" s="20" t="s">
        <v>80</v>
      </c>
      <c r="R15" s="20"/>
    </row>
    <row r="16" spans="1:19" ht="60" customHeight="1" x14ac:dyDescent="0.25">
      <c r="A16" s="20" t="s">
        <v>79</v>
      </c>
      <c r="B16" s="20">
        <v>161654580</v>
      </c>
      <c r="C16" s="20" t="s">
        <v>136</v>
      </c>
      <c r="D16" s="20">
        <v>1</v>
      </c>
      <c r="E16" s="63">
        <v>44747</v>
      </c>
      <c r="F16" s="63">
        <v>44747</v>
      </c>
      <c r="G16" s="63">
        <v>44747</v>
      </c>
      <c r="H16" s="20" t="s">
        <v>170</v>
      </c>
      <c r="I16" s="20"/>
      <c r="J16" s="20">
        <v>0.9</v>
      </c>
      <c r="K16" s="20" t="s">
        <v>80</v>
      </c>
      <c r="L16" s="20"/>
      <c r="M16" s="20"/>
      <c r="N16" s="20"/>
      <c r="O16" s="20" t="s">
        <v>78</v>
      </c>
      <c r="P16" s="20">
        <v>137.4</v>
      </c>
      <c r="Q16" s="20" t="s">
        <v>80</v>
      </c>
      <c r="R16" s="20"/>
    </row>
    <row r="17" spans="1:18" ht="60" customHeight="1" x14ac:dyDescent="0.25">
      <c r="A17" s="20" t="s">
        <v>79</v>
      </c>
      <c r="B17" s="20">
        <v>161654580</v>
      </c>
      <c r="C17" s="20" t="s">
        <v>137</v>
      </c>
      <c r="D17" s="20">
        <v>2</v>
      </c>
      <c r="E17" s="63">
        <v>44747</v>
      </c>
      <c r="F17" s="63">
        <v>44747</v>
      </c>
      <c r="G17" s="63">
        <v>44747</v>
      </c>
      <c r="H17" s="20" t="s">
        <v>171</v>
      </c>
      <c r="I17" s="20"/>
      <c r="J17" s="20">
        <v>0.9</v>
      </c>
      <c r="K17" s="20" t="s">
        <v>80</v>
      </c>
      <c r="L17" s="20"/>
      <c r="M17" s="20"/>
      <c r="N17" s="20"/>
      <c r="O17" s="20" t="s">
        <v>78</v>
      </c>
      <c r="P17" s="20">
        <v>283.13</v>
      </c>
      <c r="Q17" s="20" t="s">
        <v>80</v>
      </c>
      <c r="R17" s="20"/>
    </row>
    <row r="18" spans="1:18" ht="60" customHeight="1" x14ac:dyDescent="0.25">
      <c r="A18" s="20" t="s">
        <v>79</v>
      </c>
      <c r="B18" s="20">
        <v>161654580</v>
      </c>
      <c r="C18" s="20" t="s">
        <v>138</v>
      </c>
      <c r="D18" s="20">
        <v>2</v>
      </c>
      <c r="E18" s="63">
        <v>44747</v>
      </c>
      <c r="F18" s="63">
        <v>44747</v>
      </c>
      <c r="G18" s="63">
        <v>44747</v>
      </c>
      <c r="H18" s="20" t="s">
        <v>174</v>
      </c>
      <c r="I18" s="20"/>
      <c r="J18" s="20">
        <v>0.9</v>
      </c>
      <c r="K18" s="20" t="s">
        <v>80</v>
      </c>
      <c r="L18" s="20"/>
      <c r="M18" s="20"/>
      <c r="N18" s="20"/>
      <c r="O18" s="20" t="s">
        <v>78</v>
      </c>
      <c r="P18" s="20">
        <v>137.53</v>
      </c>
      <c r="Q18" s="20" t="s">
        <v>80</v>
      </c>
      <c r="R18" s="20"/>
    </row>
    <row r="19" spans="1:18" ht="60" customHeight="1" x14ac:dyDescent="0.25">
      <c r="A19" s="20" t="s">
        <v>79</v>
      </c>
      <c r="B19" s="20">
        <v>161654580</v>
      </c>
      <c r="C19" s="20" t="s">
        <v>139</v>
      </c>
      <c r="D19" s="20">
        <v>2</v>
      </c>
      <c r="E19" s="63">
        <v>44747</v>
      </c>
      <c r="F19" s="63">
        <v>44747</v>
      </c>
      <c r="G19" s="63">
        <v>44747</v>
      </c>
      <c r="H19" s="20" t="s">
        <v>171</v>
      </c>
      <c r="I19" s="20"/>
      <c r="J19" s="20">
        <v>0.9</v>
      </c>
      <c r="K19" s="20" t="s">
        <v>80</v>
      </c>
      <c r="L19" s="20"/>
      <c r="M19" s="20"/>
      <c r="N19" s="20"/>
      <c r="O19" s="20" t="s">
        <v>78</v>
      </c>
      <c r="P19" s="20">
        <v>68.599999999999994</v>
      </c>
      <c r="Q19" s="20" t="s">
        <v>80</v>
      </c>
      <c r="R19" s="20"/>
    </row>
    <row r="20" spans="1:18" ht="60" customHeight="1" x14ac:dyDescent="0.25">
      <c r="A20" s="20" t="s">
        <v>79</v>
      </c>
      <c r="B20" s="20">
        <v>161654580</v>
      </c>
      <c r="C20" s="20" t="s">
        <v>140</v>
      </c>
      <c r="D20" s="20">
        <v>1</v>
      </c>
      <c r="E20" s="63">
        <v>44747</v>
      </c>
      <c r="F20" s="63">
        <v>44747</v>
      </c>
      <c r="G20" s="63">
        <v>44747</v>
      </c>
      <c r="H20" s="20" t="s">
        <v>172</v>
      </c>
      <c r="I20" s="20"/>
      <c r="J20" s="20">
        <v>0.9</v>
      </c>
      <c r="K20" s="20" t="s">
        <v>80</v>
      </c>
      <c r="L20" s="20"/>
      <c r="M20" s="20"/>
      <c r="N20" s="20"/>
      <c r="O20" s="20" t="s">
        <v>78</v>
      </c>
      <c r="P20" s="20">
        <v>284.44</v>
      </c>
      <c r="Q20" s="20" t="s">
        <v>80</v>
      </c>
      <c r="R20" s="20"/>
    </row>
    <row r="21" spans="1:18" ht="60" customHeight="1" x14ac:dyDescent="0.25">
      <c r="A21" s="20" t="s">
        <v>79</v>
      </c>
      <c r="B21" s="20">
        <v>161654580</v>
      </c>
      <c r="C21" s="20" t="s">
        <v>141</v>
      </c>
      <c r="D21" s="20">
        <v>1</v>
      </c>
      <c r="E21" s="63">
        <v>44747</v>
      </c>
      <c r="F21" s="63">
        <v>44747</v>
      </c>
      <c r="G21" s="63">
        <v>44747</v>
      </c>
      <c r="H21" s="20" t="s">
        <v>172</v>
      </c>
      <c r="I21" s="20"/>
      <c r="J21" s="20">
        <v>0.9</v>
      </c>
      <c r="K21" s="20" t="s">
        <v>80</v>
      </c>
      <c r="L21" s="20"/>
      <c r="M21" s="20"/>
      <c r="N21" s="20"/>
      <c r="O21" s="20" t="s">
        <v>78</v>
      </c>
      <c r="P21" s="20">
        <v>3643.59</v>
      </c>
      <c r="Q21" s="20" t="s">
        <v>80</v>
      </c>
      <c r="R21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E13"/>
  <sheetViews>
    <sheetView workbookViewId="0">
      <pane ySplit="1" topLeftCell="A2" activePane="bottomLeft" state="frozen"/>
      <selection pane="bottomLeft" activeCell="C27" sqref="C27"/>
    </sheetView>
  </sheetViews>
  <sheetFormatPr defaultColWidth="4.5703125" defaultRowHeight="14.45" customHeight="1" x14ac:dyDescent="0.25"/>
  <cols>
    <col min="1" max="1" width="8.140625" style="25" customWidth="1"/>
    <col min="2" max="2" width="42.28515625" style="26" customWidth="1"/>
    <col min="3" max="5" width="16.5703125" style="26" customWidth="1"/>
    <col min="6" max="16384" width="4.5703125" style="25"/>
  </cols>
  <sheetData>
    <row r="1" spans="1:5" ht="30" customHeight="1" x14ac:dyDescent="0.25"/>
    <row r="2" spans="1:5" s="27" customFormat="1" ht="14.45" customHeight="1" x14ac:dyDescent="0.25">
      <c r="A2" s="27" t="s">
        <v>95</v>
      </c>
      <c r="B2" s="27" t="s">
        <v>115</v>
      </c>
    </row>
    <row r="3" spans="1:5" s="27" customFormat="1" ht="93" customHeight="1" x14ac:dyDescent="0.25">
      <c r="A3" s="27" t="s">
        <v>96</v>
      </c>
      <c r="B3" s="27" t="s">
        <v>126</v>
      </c>
    </row>
    <row r="4" spans="1:5" s="33" customFormat="1" ht="14.45" customHeight="1" x14ac:dyDescent="0.25">
      <c r="A4" s="33" t="s">
        <v>97</v>
      </c>
      <c r="B4" s="37" t="s">
        <v>145</v>
      </c>
    </row>
    <row r="5" spans="1:5" s="33" customFormat="1" ht="14.45" customHeight="1" x14ac:dyDescent="0.25">
      <c r="A5" s="33" t="s">
        <v>98</v>
      </c>
    </row>
    <row r="6" spans="1:5" s="33" customFormat="1" ht="14.45" customHeight="1" x14ac:dyDescent="0.25"/>
    <row r="7" spans="1:5" s="33" customFormat="1" ht="14.45" customHeight="1" x14ac:dyDescent="0.25">
      <c r="A7" s="37" t="s">
        <v>128</v>
      </c>
    </row>
    <row r="8" spans="1:5" s="33" customFormat="1" ht="14.45" customHeight="1" x14ac:dyDescent="0.25">
      <c r="B8" s="33" t="s">
        <v>100</v>
      </c>
    </row>
    <row r="9" spans="1:5" s="34" customFormat="1" ht="14.25" customHeight="1" x14ac:dyDescent="0.25">
      <c r="B9" s="35" t="s">
        <v>37</v>
      </c>
      <c r="C9" s="35" t="s">
        <v>101</v>
      </c>
      <c r="D9" s="35" t="s">
        <v>102</v>
      </c>
      <c r="E9" s="35" t="s">
        <v>99</v>
      </c>
    </row>
    <row r="10" spans="1:5" ht="80.099999999999994" customHeight="1" x14ac:dyDescent="0.25">
      <c r="B10" s="72" t="s">
        <v>6</v>
      </c>
      <c r="C10" s="36">
        <v>17</v>
      </c>
      <c r="D10" s="36" t="s">
        <v>83</v>
      </c>
      <c r="E10" s="36">
        <v>20.5</v>
      </c>
    </row>
    <row r="12" spans="1:5" ht="14.45" customHeight="1" x14ac:dyDescent="0.25">
      <c r="A12" s="25" t="s">
        <v>112</v>
      </c>
    </row>
    <row r="13" spans="1:5" ht="14.45" customHeight="1" x14ac:dyDescent="0.25">
      <c r="A13" s="25" t="s">
        <v>113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H16"/>
  <sheetViews>
    <sheetView workbookViewId="0">
      <pane ySplit="1" topLeftCell="A2" activePane="bottomLeft" state="frozen"/>
      <selection pane="bottomLeft" activeCell="H10" sqref="H10"/>
    </sheetView>
  </sheetViews>
  <sheetFormatPr defaultColWidth="4.5703125" defaultRowHeight="20.100000000000001" customHeight="1" x14ac:dyDescent="0.25"/>
  <cols>
    <col min="1" max="1" width="16.5703125" style="24" customWidth="1"/>
    <col min="2" max="2" width="8.5703125" style="4" customWidth="1"/>
    <col min="3" max="3" width="25.5703125" style="4" customWidth="1"/>
    <col min="4" max="4" width="8.5703125" style="4" customWidth="1"/>
    <col min="5" max="5" width="16.5703125" style="4" customWidth="1"/>
    <col min="6" max="6" width="8.5703125" style="4" customWidth="1"/>
    <col min="7" max="7" width="16.5703125" style="4" customWidth="1"/>
    <col min="8" max="8" width="13.85546875" style="4" customWidth="1"/>
    <col min="9" max="16384" width="4.5703125" style="6"/>
  </cols>
  <sheetData>
    <row r="1" spans="1:8" ht="15" customHeight="1" x14ac:dyDescent="0.25">
      <c r="A1" s="23" t="s">
        <v>25</v>
      </c>
      <c r="B1" s="5" t="s">
        <v>14</v>
      </c>
      <c r="C1" s="5" t="s">
        <v>11</v>
      </c>
      <c r="D1" s="5" t="s">
        <v>26</v>
      </c>
      <c r="E1" s="5" t="s">
        <v>16</v>
      </c>
      <c r="F1" s="5" t="s">
        <v>27</v>
      </c>
      <c r="G1" s="5" t="s">
        <v>28</v>
      </c>
      <c r="H1" s="5" t="s">
        <v>2</v>
      </c>
    </row>
    <row r="2" spans="1:8" ht="20.100000000000001" customHeight="1" x14ac:dyDescent="0.25">
      <c r="A2" s="24" t="s">
        <v>181</v>
      </c>
      <c r="B2" s="4" t="s">
        <v>24</v>
      </c>
      <c r="C2" s="4" t="s">
        <v>180</v>
      </c>
      <c r="D2" s="4" t="s">
        <v>204</v>
      </c>
      <c r="E2" s="4">
        <v>161754415</v>
      </c>
      <c r="F2" s="4">
        <v>1</v>
      </c>
      <c r="G2" s="4" t="s">
        <v>179</v>
      </c>
      <c r="H2" s="17" t="s">
        <v>199</v>
      </c>
    </row>
    <row r="3" spans="1:8" ht="20.100000000000001" customHeight="1" x14ac:dyDescent="0.25">
      <c r="A3" s="24" t="s">
        <v>182</v>
      </c>
      <c r="B3" s="4" t="s">
        <v>21</v>
      </c>
      <c r="C3" s="4" t="s">
        <v>180</v>
      </c>
      <c r="D3" s="4" t="s">
        <v>204</v>
      </c>
      <c r="E3" s="4">
        <v>161754415</v>
      </c>
      <c r="F3" s="4">
        <v>1</v>
      </c>
      <c r="G3" s="4" t="s">
        <v>179</v>
      </c>
      <c r="H3" s="17" t="s">
        <v>199</v>
      </c>
    </row>
    <row r="4" spans="1:8" ht="20.100000000000001" customHeight="1" x14ac:dyDescent="0.25">
      <c r="A4" s="24" t="s">
        <v>185</v>
      </c>
      <c r="B4" s="4" t="s">
        <v>21</v>
      </c>
      <c r="C4" s="4" t="s">
        <v>142</v>
      </c>
      <c r="D4" s="4" t="s">
        <v>204</v>
      </c>
      <c r="E4" s="4">
        <v>161767708</v>
      </c>
      <c r="F4" s="4">
        <v>1</v>
      </c>
      <c r="G4" s="4" t="s">
        <v>184</v>
      </c>
      <c r="H4" s="17" t="s">
        <v>199</v>
      </c>
    </row>
    <row r="5" spans="1:8" ht="20.100000000000001" customHeight="1" x14ac:dyDescent="0.25">
      <c r="A5" s="24" t="s">
        <v>186</v>
      </c>
      <c r="B5" s="4" t="s">
        <v>21</v>
      </c>
      <c r="C5" s="4" t="s">
        <v>142</v>
      </c>
      <c r="D5" s="4" t="s">
        <v>204</v>
      </c>
      <c r="E5" s="4">
        <v>161767708</v>
      </c>
      <c r="F5" s="4">
        <v>1</v>
      </c>
      <c r="G5" s="4" t="s">
        <v>184</v>
      </c>
      <c r="H5" s="17" t="s">
        <v>199</v>
      </c>
    </row>
    <row r="6" spans="1:8" ht="20.100000000000001" customHeight="1" x14ac:dyDescent="0.25">
      <c r="A6" s="24" t="s">
        <v>187</v>
      </c>
      <c r="B6" s="4" t="s">
        <v>21</v>
      </c>
      <c r="C6" s="4" t="s">
        <v>142</v>
      </c>
      <c r="D6" s="4" t="s">
        <v>204</v>
      </c>
      <c r="E6" s="4">
        <v>161767708</v>
      </c>
      <c r="F6" s="4">
        <v>1</v>
      </c>
      <c r="G6" s="4" t="s">
        <v>184</v>
      </c>
      <c r="H6" s="17" t="s">
        <v>199</v>
      </c>
    </row>
    <row r="7" spans="1:8" ht="20.100000000000001" customHeight="1" x14ac:dyDescent="0.25">
      <c r="A7" s="24" t="s">
        <v>188</v>
      </c>
      <c r="B7" s="4" t="s">
        <v>21</v>
      </c>
      <c r="C7" s="4" t="s">
        <v>142</v>
      </c>
      <c r="D7" s="4" t="s">
        <v>204</v>
      </c>
      <c r="E7" s="4">
        <v>161767708</v>
      </c>
      <c r="F7" s="4">
        <v>1</v>
      </c>
      <c r="G7" s="4" t="s">
        <v>184</v>
      </c>
      <c r="H7" s="17" t="s">
        <v>199</v>
      </c>
    </row>
    <row r="8" spans="1:8" ht="20.100000000000001" customHeight="1" x14ac:dyDescent="0.25">
      <c r="A8" s="24" t="s">
        <v>189</v>
      </c>
      <c r="B8" s="4" t="s">
        <v>21</v>
      </c>
      <c r="C8" s="4" t="s">
        <v>142</v>
      </c>
      <c r="D8" s="4" t="s">
        <v>204</v>
      </c>
      <c r="E8" s="4">
        <v>161767708</v>
      </c>
      <c r="F8" s="4">
        <v>1</v>
      </c>
      <c r="G8" s="4" t="s">
        <v>184</v>
      </c>
      <c r="H8" s="17" t="s">
        <v>199</v>
      </c>
    </row>
    <row r="9" spans="1:8" ht="20.100000000000001" customHeight="1" x14ac:dyDescent="0.25">
      <c r="A9" s="24" t="s">
        <v>190</v>
      </c>
      <c r="B9" s="4" t="s">
        <v>21</v>
      </c>
      <c r="C9" s="4" t="s">
        <v>142</v>
      </c>
      <c r="D9" s="4" t="s">
        <v>204</v>
      </c>
      <c r="E9" s="4">
        <v>161767708</v>
      </c>
      <c r="F9" s="4">
        <v>1</v>
      </c>
      <c r="G9" s="4" t="s">
        <v>184</v>
      </c>
      <c r="H9" s="17" t="s">
        <v>199</v>
      </c>
    </row>
    <row r="10" spans="1:8" ht="20.100000000000001" customHeight="1" x14ac:dyDescent="0.25">
      <c r="A10" s="24" t="s">
        <v>191</v>
      </c>
      <c r="B10" s="4" t="s">
        <v>21</v>
      </c>
      <c r="C10" s="4" t="s">
        <v>142</v>
      </c>
      <c r="D10" s="4" t="s">
        <v>204</v>
      </c>
      <c r="E10" s="4">
        <v>161767708</v>
      </c>
      <c r="F10" s="4">
        <v>1</v>
      </c>
      <c r="G10" s="4" t="s">
        <v>184</v>
      </c>
      <c r="H10" s="17" t="s">
        <v>199</v>
      </c>
    </row>
    <row r="11" spans="1:8" ht="20.100000000000001" customHeight="1" x14ac:dyDescent="0.25">
      <c r="A11" s="24" t="s">
        <v>192</v>
      </c>
      <c r="B11" s="4" t="s">
        <v>21</v>
      </c>
      <c r="C11" s="4" t="s">
        <v>142</v>
      </c>
      <c r="D11" s="4" t="s">
        <v>204</v>
      </c>
      <c r="E11" s="4">
        <v>161767708</v>
      </c>
      <c r="F11" s="4">
        <v>1</v>
      </c>
      <c r="G11" s="4" t="s">
        <v>184</v>
      </c>
      <c r="H11" s="17" t="s">
        <v>199</v>
      </c>
    </row>
    <row r="12" spans="1:8" ht="20.100000000000001" customHeight="1" x14ac:dyDescent="0.25">
      <c r="A12" s="24" t="s">
        <v>193</v>
      </c>
      <c r="B12" s="4" t="s">
        <v>21</v>
      </c>
      <c r="C12" s="4" t="s">
        <v>142</v>
      </c>
      <c r="D12" s="4" t="s">
        <v>204</v>
      </c>
      <c r="E12" s="4">
        <v>161767708</v>
      </c>
      <c r="F12" s="4">
        <v>1</v>
      </c>
      <c r="G12" s="4" t="s">
        <v>184</v>
      </c>
      <c r="H12" s="17" t="s">
        <v>199</v>
      </c>
    </row>
    <row r="13" spans="1:8" ht="20.100000000000001" customHeight="1" x14ac:dyDescent="0.25">
      <c r="A13" s="24" t="s">
        <v>194</v>
      </c>
      <c r="B13" s="4" t="s">
        <v>21</v>
      </c>
      <c r="C13" s="4" t="s">
        <v>142</v>
      </c>
      <c r="D13" s="4" t="s">
        <v>204</v>
      </c>
      <c r="E13" s="4">
        <v>161767708</v>
      </c>
      <c r="F13" s="4">
        <v>1</v>
      </c>
      <c r="G13" s="4" t="s">
        <v>184</v>
      </c>
      <c r="H13" s="17" t="s">
        <v>199</v>
      </c>
    </row>
    <row r="14" spans="1:8" ht="20.100000000000001" customHeight="1" x14ac:dyDescent="0.25">
      <c r="A14" s="24" t="s">
        <v>195</v>
      </c>
      <c r="B14" s="4" t="s">
        <v>21</v>
      </c>
      <c r="C14" s="4" t="s">
        <v>142</v>
      </c>
      <c r="D14" s="4" t="s">
        <v>204</v>
      </c>
      <c r="E14" s="4">
        <v>161767708</v>
      </c>
      <c r="F14" s="4">
        <v>1</v>
      </c>
      <c r="G14" s="4" t="s">
        <v>184</v>
      </c>
      <c r="H14" s="17" t="s">
        <v>199</v>
      </c>
    </row>
    <row r="15" spans="1:8" ht="20.100000000000001" customHeight="1" x14ac:dyDescent="0.25">
      <c r="A15" s="24" t="s">
        <v>196</v>
      </c>
      <c r="B15" s="4" t="s">
        <v>21</v>
      </c>
      <c r="C15" s="4" t="s">
        <v>142</v>
      </c>
      <c r="D15" s="4" t="s">
        <v>204</v>
      </c>
      <c r="E15" s="4">
        <v>161767708</v>
      </c>
      <c r="F15" s="4">
        <v>1</v>
      </c>
      <c r="G15" s="4" t="s">
        <v>184</v>
      </c>
      <c r="H15" s="17" t="s">
        <v>199</v>
      </c>
    </row>
    <row r="16" spans="1:8" ht="20.100000000000001" customHeight="1" x14ac:dyDescent="0.25">
      <c r="A16" s="24" t="s">
        <v>197</v>
      </c>
      <c r="B16" s="4" t="s">
        <v>21</v>
      </c>
      <c r="C16" s="4" t="s">
        <v>142</v>
      </c>
      <c r="D16" s="4" t="s">
        <v>204</v>
      </c>
      <c r="E16" s="4">
        <v>161767708</v>
      </c>
      <c r="F16" s="4">
        <v>1</v>
      </c>
      <c r="G16" s="4" t="s">
        <v>184</v>
      </c>
      <c r="H16" s="17" t="s">
        <v>199</v>
      </c>
    </row>
  </sheetData>
  <autoFilter ref="A1:H1"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A1:J20"/>
  <sheetViews>
    <sheetView workbookViewId="0">
      <pane ySplit="3" topLeftCell="A4" activePane="bottomLeft" state="frozen"/>
      <selection pane="bottomLeft" activeCell="D29" sqref="D29"/>
    </sheetView>
  </sheetViews>
  <sheetFormatPr defaultColWidth="4.5703125" defaultRowHeight="20.100000000000001" customHeight="1" x14ac:dyDescent="0.25"/>
  <cols>
    <col min="1" max="1" width="14.5703125" style="18" customWidth="1"/>
    <col min="2" max="2" width="25.5703125" style="17" customWidth="1"/>
    <col min="3" max="3" width="16.5703125" style="17" customWidth="1"/>
    <col min="4" max="5" width="8.5703125" style="17" customWidth="1"/>
    <col min="6" max="6" width="20.7109375" style="32" customWidth="1"/>
    <col min="7" max="7" width="20.7109375" style="28" customWidth="1"/>
    <col min="8" max="8" width="20.7109375" style="32" customWidth="1"/>
    <col min="9" max="10" width="14.5703125" style="32" customWidth="1"/>
    <col min="11" max="16384" width="4.5703125" style="15"/>
  </cols>
  <sheetData>
    <row r="1" spans="1:10" ht="30" customHeight="1" x14ac:dyDescent="0.25">
      <c r="A1" s="13"/>
      <c r="B1" s="14"/>
      <c r="C1" s="14"/>
      <c r="D1" s="14"/>
      <c r="E1" s="14"/>
      <c r="F1" s="29"/>
      <c r="G1" s="29"/>
      <c r="H1" s="29"/>
      <c r="I1" s="29"/>
      <c r="J1" s="29"/>
    </row>
    <row r="2" spans="1:10" s="16" customFormat="1" ht="30" customHeight="1" x14ac:dyDescent="0.25">
      <c r="A2" s="99" t="s">
        <v>81</v>
      </c>
      <c r="B2" s="99"/>
      <c r="C2" s="99"/>
      <c r="D2" s="99"/>
      <c r="E2" s="99"/>
      <c r="F2" s="99"/>
      <c r="G2" s="99"/>
      <c r="H2" s="99"/>
      <c r="I2" s="99"/>
      <c r="J2" s="99"/>
    </row>
    <row r="3" spans="1:10" ht="30" customHeight="1" x14ac:dyDescent="0.25">
      <c r="A3" s="21" t="s">
        <v>86</v>
      </c>
      <c r="B3" s="22" t="s">
        <v>11</v>
      </c>
      <c r="C3" s="22" t="s">
        <v>45</v>
      </c>
      <c r="D3" s="22" t="s">
        <v>87</v>
      </c>
      <c r="E3" s="22" t="s">
        <v>35</v>
      </c>
      <c r="F3" s="30" t="s">
        <v>88</v>
      </c>
      <c r="G3" s="31" t="s">
        <v>89</v>
      </c>
      <c r="H3" s="30" t="s">
        <v>16</v>
      </c>
      <c r="I3" s="30" t="s">
        <v>90</v>
      </c>
      <c r="J3" s="30" t="s">
        <v>91</v>
      </c>
    </row>
    <row r="4" spans="1:10" ht="20.100000000000001" customHeight="1" x14ac:dyDescent="0.25">
      <c r="A4" s="18">
        <v>44747.508425925924</v>
      </c>
      <c r="B4" s="17" t="s">
        <v>129</v>
      </c>
      <c r="C4" s="17" t="s">
        <v>148</v>
      </c>
      <c r="D4" s="17" t="s">
        <v>19</v>
      </c>
      <c r="E4" s="17">
        <v>6</v>
      </c>
      <c r="F4" s="32" t="s">
        <v>175</v>
      </c>
      <c r="G4" s="28" t="s">
        <v>176</v>
      </c>
      <c r="H4" s="32" t="s">
        <v>177</v>
      </c>
      <c r="I4" s="32" t="s">
        <v>178</v>
      </c>
    </row>
    <row r="5" spans="1:10" ht="20.100000000000001" customHeight="1" x14ac:dyDescent="0.25">
      <c r="A5" s="18">
        <v>44747.508425925924</v>
      </c>
      <c r="B5" s="17" t="s">
        <v>131</v>
      </c>
      <c r="C5" s="17" t="s">
        <v>149</v>
      </c>
      <c r="D5" s="17" t="s">
        <v>19</v>
      </c>
      <c r="E5" s="17">
        <v>8</v>
      </c>
      <c r="F5" s="32" t="s">
        <v>175</v>
      </c>
      <c r="G5" s="28" t="s">
        <v>176</v>
      </c>
      <c r="H5" s="32" t="s">
        <v>177</v>
      </c>
      <c r="I5" s="32" t="s">
        <v>178</v>
      </c>
    </row>
    <row r="6" spans="1:10" ht="20.100000000000001" customHeight="1" x14ac:dyDescent="0.25">
      <c r="A6" s="18">
        <v>44747.508425925924</v>
      </c>
      <c r="B6" s="17" t="s">
        <v>132</v>
      </c>
      <c r="C6" s="17" t="s">
        <v>150</v>
      </c>
      <c r="D6" s="17" t="s">
        <v>19</v>
      </c>
      <c r="E6" s="17">
        <v>3</v>
      </c>
      <c r="F6" s="32" t="s">
        <v>175</v>
      </c>
      <c r="G6" s="28" t="s">
        <v>176</v>
      </c>
      <c r="H6" s="32" t="s">
        <v>177</v>
      </c>
      <c r="I6" s="32" t="s">
        <v>178</v>
      </c>
    </row>
    <row r="7" spans="1:10" ht="20.100000000000001" customHeight="1" x14ac:dyDescent="0.25">
      <c r="A7" s="18">
        <v>44747.508425925924</v>
      </c>
      <c r="B7" s="17" t="s">
        <v>133</v>
      </c>
      <c r="C7" s="17" t="s">
        <v>151</v>
      </c>
      <c r="D7" s="17" t="s">
        <v>19</v>
      </c>
      <c r="E7" s="17">
        <v>4</v>
      </c>
      <c r="F7" s="32" t="s">
        <v>175</v>
      </c>
      <c r="G7" s="28" t="s">
        <v>176</v>
      </c>
      <c r="H7" s="32" t="s">
        <v>177</v>
      </c>
      <c r="I7" s="32" t="s">
        <v>178</v>
      </c>
    </row>
    <row r="8" spans="1:10" ht="20.100000000000001" customHeight="1" x14ac:dyDescent="0.25">
      <c r="A8" s="18">
        <v>44747.508425925924</v>
      </c>
      <c r="B8" s="17" t="s">
        <v>146</v>
      </c>
      <c r="C8" s="17" t="s">
        <v>152</v>
      </c>
      <c r="D8" s="17" t="s">
        <v>19</v>
      </c>
      <c r="E8" s="17">
        <v>3</v>
      </c>
      <c r="F8" s="32" t="s">
        <v>175</v>
      </c>
      <c r="G8" s="28" t="s">
        <v>176</v>
      </c>
      <c r="H8" s="32" t="s">
        <v>177</v>
      </c>
      <c r="I8" s="32" t="s">
        <v>178</v>
      </c>
    </row>
    <row r="9" spans="1:10" ht="20.100000000000001" customHeight="1" x14ac:dyDescent="0.25">
      <c r="A9" s="18">
        <v>44747.508425925924</v>
      </c>
      <c r="B9" s="17" t="s">
        <v>134</v>
      </c>
      <c r="C9" s="17" t="s">
        <v>153</v>
      </c>
      <c r="D9" s="17" t="s">
        <v>19</v>
      </c>
      <c r="E9" s="17">
        <v>3</v>
      </c>
      <c r="F9" s="32" t="s">
        <v>175</v>
      </c>
      <c r="G9" s="28" t="s">
        <v>176</v>
      </c>
      <c r="H9" s="32" t="s">
        <v>177</v>
      </c>
      <c r="I9" s="32" t="s">
        <v>178</v>
      </c>
    </row>
    <row r="10" spans="1:10" ht="20.100000000000001" customHeight="1" x14ac:dyDescent="0.25">
      <c r="A10" s="18">
        <v>44747.508425925924</v>
      </c>
      <c r="B10" s="17" t="s">
        <v>135</v>
      </c>
      <c r="C10" s="17" t="s">
        <v>154</v>
      </c>
      <c r="D10" s="17" t="s">
        <v>19</v>
      </c>
      <c r="E10" s="17">
        <v>1</v>
      </c>
      <c r="F10" s="32" t="s">
        <v>175</v>
      </c>
      <c r="G10" s="28" t="s">
        <v>176</v>
      </c>
      <c r="H10" s="32" t="s">
        <v>177</v>
      </c>
      <c r="I10" s="32" t="s">
        <v>178</v>
      </c>
    </row>
    <row r="11" spans="1:10" ht="20.100000000000001" customHeight="1" x14ac:dyDescent="0.25">
      <c r="A11" s="18">
        <v>44747.508425925924</v>
      </c>
      <c r="B11" s="17" t="s">
        <v>142</v>
      </c>
      <c r="C11" s="17" t="s">
        <v>155</v>
      </c>
      <c r="D11" s="17" t="s">
        <v>19</v>
      </c>
      <c r="E11" s="17">
        <v>2</v>
      </c>
      <c r="F11" s="32" t="s">
        <v>175</v>
      </c>
      <c r="G11" s="28" t="s">
        <v>176</v>
      </c>
      <c r="H11" s="32" t="s">
        <v>177</v>
      </c>
      <c r="I11" s="32" t="s">
        <v>178</v>
      </c>
    </row>
    <row r="12" spans="1:10" ht="20.100000000000001" customHeight="1" x14ac:dyDescent="0.25">
      <c r="A12" s="18">
        <v>44747.508425925924</v>
      </c>
      <c r="B12" s="17" t="s">
        <v>143</v>
      </c>
      <c r="C12" s="17" t="s">
        <v>156</v>
      </c>
      <c r="D12" s="17" t="s">
        <v>19</v>
      </c>
      <c r="E12" s="17">
        <v>1</v>
      </c>
      <c r="F12" s="32" t="s">
        <v>175</v>
      </c>
      <c r="G12" s="28" t="s">
        <v>176</v>
      </c>
      <c r="H12" s="32" t="s">
        <v>177</v>
      </c>
      <c r="I12" s="32" t="s">
        <v>178</v>
      </c>
    </row>
    <row r="13" spans="1:10" ht="20.100000000000001" customHeight="1" x14ac:dyDescent="0.25">
      <c r="A13" s="18">
        <v>44747.508425925924</v>
      </c>
      <c r="B13" s="17" t="s">
        <v>147</v>
      </c>
      <c r="C13" s="17" t="s">
        <v>157</v>
      </c>
      <c r="D13" s="17" t="s">
        <v>19</v>
      </c>
      <c r="E13" s="17">
        <v>1</v>
      </c>
      <c r="F13" s="32" t="s">
        <v>175</v>
      </c>
      <c r="G13" s="28" t="s">
        <v>176</v>
      </c>
      <c r="H13" s="32" t="s">
        <v>177</v>
      </c>
      <c r="I13" s="32" t="s">
        <v>178</v>
      </c>
    </row>
    <row r="14" spans="1:10" ht="20.100000000000001" customHeight="1" x14ac:dyDescent="0.25">
      <c r="A14" s="18">
        <v>44747.508425925924</v>
      </c>
      <c r="B14" s="17" t="s">
        <v>144</v>
      </c>
      <c r="C14" s="17" t="s">
        <v>158</v>
      </c>
      <c r="D14" s="17" t="s">
        <v>19</v>
      </c>
      <c r="E14" s="17">
        <v>4</v>
      </c>
      <c r="F14" s="32" t="s">
        <v>175</v>
      </c>
      <c r="G14" s="28" t="s">
        <v>176</v>
      </c>
      <c r="H14" s="32" t="s">
        <v>177</v>
      </c>
      <c r="I14" s="32" t="s">
        <v>178</v>
      </c>
    </row>
    <row r="15" spans="1:10" ht="20.100000000000001" customHeight="1" x14ac:dyDescent="0.25">
      <c r="A15" s="18">
        <v>44747.508425925924</v>
      </c>
      <c r="B15" s="17" t="s">
        <v>136</v>
      </c>
      <c r="C15" s="17" t="s">
        <v>159</v>
      </c>
      <c r="D15" s="17" t="s">
        <v>19</v>
      </c>
      <c r="E15" s="17">
        <v>1</v>
      </c>
      <c r="F15" s="32" t="s">
        <v>175</v>
      </c>
      <c r="G15" s="28" t="s">
        <v>176</v>
      </c>
      <c r="H15" s="32" t="s">
        <v>177</v>
      </c>
      <c r="I15" s="32" t="s">
        <v>178</v>
      </c>
    </row>
    <row r="16" spans="1:10" ht="20.100000000000001" customHeight="1" x14ac:dyDescent="0.25">
      <c r="A16" s="18">
        <v>44747.508425925924</v>
      </c>
      <c r="B16" s="17" t="s">
        <v>137</v>
      </c>
      <c r="C16" s="17" t="s">
        <v>160</v>
      </c>
      <c r="D16" s="17" t="s">
        <v>19</v>
      </c>
      <c r="E16" s="17">
        <v>2</v>
      </c>
      <c r="F16" s="32" t="s">
        <v>175</v>
      </c>
      <c r="G16" s="28" t="s">
        <v>176</v>
      </c>
      <c r="H16" s="32" t="s">
        <v>177</v>
      </c>
      <c r="I16" s="32" t="s">
        <v>178</v>
      </c>
    </row>
    <row r="17" spans="1:9" ht="20.100000000000001" customHeight="1" x14ac:dyDescent="0.25">
      <c r="A17" s="18">
        <v>44747.508425925924</v>
      </c>
      <c r="B17" s="17" t="s">
        <v>138</v>
      </c>
      <c r="C17" s="17" t="s">
        <v>161</v>
      </c>
      <c r="D17" s="17" t="s">
        <v>19</v>
      </c>
      <c r="E17" s="17">
        <v>2</v>
      </c>
      <c r="F17" s="32" t="s">
        <v>175</v>
      </c>
      <c r="G17" s="28" t="s">
        <v>176</v>
      </c>
      <c r="H17" s="32" t="s">
        <v>177</v>
      </c>
      <c r="I17" s="32" t="s">
        <v>178</v>
      </c>
    </row>
    <row r="18" spans="1:9" ht="20.100000000000001" customHeight="1" x14ac:dyDescent="0.25">
      <c r="A18" s="18">
        <v>44747.508425925924</v>
      </c>
      <c r="B18" s="17" t="s">
        <v>139</v>
      </c>
      <c r="C18" s="17" t="s">
        <v>162</v>
      </c>
      <c r="D18" s="17" t="s">
        <v>19</v>
      </c>
      <c r="E18" s="17">
        <v>2</v>
      </c>
      <c r="F18" s="32" t="s">
        <v>175</v>
      </c>
      <c r="G18" s="28" t="s">
        <v>176</v>
      </c>
      <c r="H18" s="32" t="s">
        <v>177</v>
      </c>
      <c r="I18" s="32" t="s">
        <v>178</v>
      </c>
    </row>
    <row r="19" spans="1:9" ht="20.100000000000001" customHeight="1" x14ac:dyDescent="0.25">
      <c r="A19" s="18">
        <v>44747.508425925924</v>
      </c>
      <c r="B19" s="17" t="s">
        <v>140</v>
      </c>
      <c r="C19" s="17" t="s">
        <v>163</v>
      </c>
      <c r="D19" s="17" t="s">
        <v>19</v>
      </c>
      <c r="E19" s="17">
        <v>1</v>
      </c>
      <c r="F19" s="32" t="s">
        <v>175</v>
      </c>
      <c r="G19" s="28" t="s">
        <v>176</v>
      </c>
      <c r="H19" s="32" t="s">
        <v>177</v>
      </c>
      <c r="I19" s="32" t="s">
        <v>178</v>
      </c>
    </row>
    <row r="20" spans="1:9" ht="20.100000000000001" customHeight="1" x14ac:dyDescent="0.25">
      <c r="A20" s="18">
        <v>44747.508425925924</v>
      </c>
      <c r="B20" s="17" t="s">
        <v>141</v>
      </c>
      <c r="C20" s="17" t="s">
        <v>164</v>
      </c>
      <c r="D20" s="17" t="s">
        <v>19</v>
      </c>
      <c r="E20" s="17">
        <v>1</v>
      </c>
      <c r="F20" s="32" t="s">
        <v>175</v>
      </c>
      <c r="G20" s="28" t="s">
        <v>176</v>
      </c>
      <c r="H20" s="32" t="s">
        <v>177</v>
      </c>
      <c r="I20" s="32" t="s">
        <v>178</v>
      </c>
    </row>
  </sheetData>
  <mergeCells count="1">
    <mergeCell ref="A2:J2"/>
  </mergeCells>
  <hyperlinks>
    <hyperlink ref="A2:G2" r:id="rId1" display="FA RTV Tracker"/>
    <hyperlink ref="A2:J2" r:id="rId2" display="Tracker"/>
  </hyperlinks>
  <pageMargins left="0.7" right="0.7" top="0.75" bottom="0.75" header="0.3" footer="0.3"/>
  <pageSetup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"/>
  <sheetViews>
    <sheetView workbookViewId="0">
      <pane ySplit="1" topLeftCell="A2" activePane="bottomLeft" state="frozen"/>
      <selection pane="bottomLeft" activeCell="H5" sqref="H5"/>
    </sheetView>
  </sheetViews>
  <sheetFormatPr defaultColWidth="4.5703125" defaultRowHeight="60" customHeight="1" x14ac:dyDescent="0.25"/>
  <cols>
    <col min="1" max="1" width="43.28515625" style="2" customWidth="1"/>
    <col min="2" max="2" width="8.28515625" style="2" customWidth="1"/>
    <col min="3" max="3" width="30.42578125" style="2" customWidth="1"/>
    <col min="4" max="4" width="12.5703125" style="2" customWidth="1"/>
    <col min="5" max="5" width="25.5703125" style="2" customWidth="1"/>
    <col min="6" max="7" width="10.5703125" style="2" customWidth="1"/>
    <col min="8" max="8" width="8.85546875" style="1" customWidth="1"/>
    <col min="9" max="9" width="33.7109375" style="1" customWidth="1"/>
    <col min="10" max="16384" width="4.5703125" style="1"/>
  </cols>
  <sheetData>
    <row r="1" spans="1:9" ht="30" customHeight="1" x14ac:dyDescent="0.25">
      <c r="A1" s="3" t="s">
        <v>2</v>
      </c>
      <c r="B1" s="3" t="s">
        <v>0</v>
      </c>
      <c r="C1" s="3" t="s">
        <v>1</v>
      </c>
      <c r="D1" s="3" t="s">
        <v>3</v>
      </c>
      <c r="E1" s="3" t="s">
        <v>38</v>
      </c>
      <c r="F1" s="3" t="s">
        <v>4</v>
      </c>
      <c r="G1" s="3" t="s">
        <v>5</v>
      </c>
      <c r="H1" s="3" t="s">
        <v>36</v>
      </c>
      <c r="I1" s="3" t="s">
        <v>15</v>
      </c>
    </row>
    <row r="2" spans="1:9" ht="60" customHeight="1" x14ac:dyDescent="0.25">
      <c r="A2" s="67" t="s">
        <v>199</v>
      </c>
      <c r="B2" s="67" t="s">
        <v>200</v>
      </c>
      <c r="C2" s="67" t="s">
        <v>198</v>
      </c>
      <c r="D2" s="89" t="s">
        <v>7</v>
      </c>
      <c r="E2" s="67" t="s">
        <v>201</v>
      </c>
      <c r="F2" s="67" t="s">
        <v>116</v>
      </c>
      <c r="G2" s="67">
        <v>111797</v>
      </c>
      <c r="H2" s="67">
        <v>85176290</v>
      </c>
      <c r="I2" s="67" t="s">
        <v>19</v>
      </c>
    </row>
  </sheetData>
  <autoFilter ref="A1:G2"/>
  <dataConsolidate/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manual</vt:lpstr>
      <vt:lpstr>fits</vt:lpstr>
      <vt:lpstr>shipment</vt:lpstr>
      <vt:lpstr>uload</vt:lpstr>
      <vt:lpstr>mail</vt:lpstr>
      <vt:lpstr>lot</vt:lpstr>
      <vt:lpstr>after</vt:lpstr>
      <vt:lpstr>address</vt:lpstr>
      <vt:lpstr>address!_FilterDatabase</vt:lpstr>
    </vt:vector>
  </TitlesOfParts>
  <Company>Cisco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 -X (vchalerm - FABRINET at Cisco)</dc:creator>
  <cp:lastModifiedBy>Wisit Longsida</cp:lastModifiedBy>
  <dcterms:created xsi:type="dcterms:W3CDTF">2016-06-04T07:01:44Z</dcterms:created>
  <dcterms:modified xsi:type="dcterms:W3CDTF">2022-08-03T11:09:30Z</dcterms:modified>
</cp:coreProperties>
</file>